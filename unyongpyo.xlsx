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ancom\OneDrive\Desktop\"/>
    </mc:Choice>
  </mc:AlternateContent>
  <x:bookViews>
    <x:workbookView xWindow="0" yWindow="0" windowWidth="22788" windowHeight="8112" tabRatio="500" firstSheet="1" activeTab="3"/>
  </x:bookViews>
  <x:sheets>
    <x:sheet name="(원화)월별계획 2026" sheetId="1" r:id="rId4"/>
    <x:sheet name="학교자금현황 2026" sheetId="2" r:id="rId5"/>
    <x:sheet name="자금운영시뮬레이션 2026" sheetId="3" r:id="rId6"/>
    <x:sheet name="학교운영진행 2026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<x:sst xmlns:r="http://schemas.openxmlformats.org/officeDocument/2006/relationships" xmlns:c="http://schemas.openxmlformats.org/drawingml/2006/chart" xmlns:x="http://schemas.openxmlformats.org/spreadsheetml/2006/main" count="360" uniqueCount="104">
  <x:si>
    <x:r>
      <x:t>2026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2"/>
            <x:color rgb="ff000000"/>
            <x:b val="1"/>
          </x:rPr>
        </mc:Fallback>
      </mc:AlternateContent>
      <x:t xml:space="preserve"> 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월</x:t>
    </x:r>
  </x:si>
  <x:si>
    <x:r>
      <x:t>2026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2"/>
            <x:color rgb="ff000000"/>
            <x:b val="1"/>
          </x:rPr>
        </mc:Fallback>
      </mc:AlternateContent>
      <x:t xml:space="preserve"> 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월</x:t>
    </x:r>
  </x:si>
  <x:si>
    <x:t>셀호스 릿제이</x:t>
  </x:si>
  <x:si>
    <x:t>78번 학교</x:t>
  </x:si>
  <x:si>
    <x:t>한국어학생수</x:t>
  </x:si>
  <x:si>
    <x:t>경제릿제이</x:t>
  </x:si>
  <x:si>
    <x:t>학교 이름</x:t>
  </x:si>
  <x:si>
    <x:t>1월 학생수</x:t>
  </x:si>
  <x:si>
    <x:t>알베로니 여자</x:t>
  </x:si>
  <x:si>
    <x:t>경제대학교</x:t>
  </x:si>
  <x:si>
    <x:t>육살리시 지작</x:t>
  </x:si>
  <x:si>
    <x:t>345번 학교</x:t>
  </x:si>
  <x:si>
    <x:t>인하대학교</x:t>
  </x:si>
  <x:si>
    <x:t>2월 학생수</x:t>
  </x:si>
  <x:si>
    <x:t>알베로니</x:t>
  </x:si>
  <x:si>
    <x:t>싱가폴대학교</x:t>
  </x:si>
  <x:si>
    <x:t>총 학생수</x:t>
  </x:si>
  <x:si>
    <x:t>자금 현황</x:t>
  </x:si>
  <x:si>
    <x:t>358번 학교</x:t>
  </x:si>
  <x:si>
    <x:t>실제입금자</x:t>
  </x:si>
  <x:si>
    <x:t>한국어 학생수</x:t>
  </x:si>
  <x:si>
    <x:t>육살리시 본교</x:t>
  </x:si>
  <x:si>
    <x:t>RISE UP</x:t>
  </x:si>
  <x:si>
    <x:t>타겟 강가</x:t>
  </x:si>
  <x:si>
    <x:t>290번 학교</x:t>
  </x:si>
  <x:si>
    <x:t>직원 기본급</x:t>
  </x:si>
  <x:si>
    <x:t>348번 학교</x:t>
  </x:si>
  <x:si>
    <x:t>IT 1</x:t>
  </x:si>
  <x:si>
    <x:t>굽기나 릿제이</x:t>
  </x:si>
  <x:si>
    <x:t>346번 학교</x:t>
  </x:si>
  <x:si>
    <x:t>캠브릿지(2)</x:t>
  </x:si>
  <x:si>
    <x:t>영업 이익</x:t>
  </x:si>
  <x:si>
    <x:t>2026년1월</x:t>
  </x:si>
  <x:si>
    <x:t>한국어 강사비</x:t>
  </x:si>
  <x:si>
    <x:t>IT 학생수</x:t>
  </x:si>
  <x:si>
    <x:t>월말 잔고</x:t>
  </x:si>
  <x:si>
    <x:t>IT 강사비</x:t>
  </x:si>
  <x:si>
    <x:t>293번 학교</x:t>
  </x:si>
  <x:si>
    <x:t>타겟 IT</x:t>
  </x:si>
  <x:si>
    <x:t>347번 학교</x:t>
  </x:si>
  <x:si>
    <x:t>기묘릿제이</x:t>
  </x:si>
  <x:si>
    <x:t>한국어 1</x:t>
  </x:si>
  <x:si>
    <x:t>IT 학생 수</x:t>
  </x:si>
  <x:si>
    <x:t>294번 학교</x:t>
  </x:si>
  <x:si>
    <x:t>200번 학교</x:t>
  </x:si>
  <x:si>
    <x:t>총 매출</x:t>
  </x:si>
  <x:si>
    <x:t>기묘대학교</x:t>
  </x:si>
  <x:si>
    <x:t>289번 학교</x:t>
  </x:si>
  <x:si>
    <x:t>2026년2월</x:t>
  </x:si>
  <x:si>
    <x:t xml:space="preserve">대통령대 </x:t>
  </x:si>
  <x:si>
    <x:t>미입금자</x:t>
  </x:si>
  <x:si>
    <x:t>IT 2</x:t>
  </x:si>
  <x:si>
    <x:t>2026년3월</x:t>
  </x:si>
  <x:si>
    <x:t>한국어 2</x:t>
  </x:si>
  <x:si>
    <x:t>총 비용</x:t>
  </x:si>
  <x:si>
    <x:t>학생 수 총합</x:t>
  </x:si>
  <x:si>
    <x:t>총 학생 수</x:t>
  </x:si>
  <x:si>
    <x:t xml:space="preserve">법인 카드 </x:t>
  </x:si>
  <x:si>
    <x:t xml:space="preserve">총 매출 </x:t>
  </x:si>
  <x:si>
    <x:t>IT학생수</x:t>
  </x:si>
  <x:si>
    <x:t>3월 학생수</x:t>
  </x:si>
  <x:si>
    <x:t>이월 잔고</x:t>
  </x:si>
  <x:si>
    <x:t>회계법인</x:t>
  </x:si>
  <x:si>
    <x:t>126번 학교</x:t>
  </x:si>
  <x:si>
    <x:t>캠브릿지(1)</x:t>
  </x:si>
  <x:si>
    <x:r>
      <x:t>2026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2"/>
            <x:color rgb="ff000000"/>
            <x:b val="1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  <x:b val="1"/>
          </x:rPr>
        </mc:Fallback>
      </mc:AlternateContent>
      <x:t>월</x:t>
    </x:r>
  </x:si>
  <x:si>
    <x:t>한국어 교재 매출</x:t>
  </x:si>
  <x:si>
    <x:t>테스트르 릿제이</x:t>
  </x:si>
  <x:si>
    <x:t>PROTI 대학교</x:t>
  </x:si>
  <x:si>
    <x:t>2026년 3월</x:t>
  </x:si>
  <x:si>
    <x:t>IT 수업료 매출</x:t>
  </x:si>
  <x:si>
    <x:t>2026년 1월</x:t>
  </x:si>
  <x:si>
    <x:t>한국어 수업료 매출</x:t>
  </x:si>
  <x:si>
    <x:t>육살리시 우치떼빠</x:t>
  </x:si>
  <x:si>
    <x:t>한국어 학생 수</x:t>
  </x:si>
  <x:si>
    <x:r>
      <x:rPr>
        <x:rFont val="맑은 고딕"/>
        <x:sz val="10"/>
        <x:color rgb="ff000000"/>
      </x:rPr>
      <x:t>수업료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 Medium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Pretendard Medium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현금으로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 Medium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Pretendard Medium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지급</x:t>
    </x:r>
  </x:si>
  <x:si>
    <x:t>단위 : sum</x:t>
  </x:si>
  <x:si>
    <x:t>육살리시 치르칙</x:t>
  </x:si>
  <x:si>
    <x:t>월별 목표 요약</x:t>
  </x:si>
  <x:si>
    <x:t>워크북 예상 매출</x:t>
  </x:si>
  <x:si>
    <x:r>
      <x:rPr>
        <x:rFont val="맑은 고딕"/>
        <x:sz val="10"/>
        <x:color rgb="ff000000"/>
      </x:rPr>
      <x:t>수업료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현금으로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지급</x:t>
    </x:r>
  </x:si>
  <x:si>
    <x:t>매니지먼트대학교</x:t>
  </x:si>
  <x:si>
    <x:t>육살리시 사마르칸트</x:t>
  </x:si>
  <x:si>
    <x:t xml:space="preserve">UMNY DETY </x:t>
  </x:si>
  <x:si>
    <x:t>수업료 예상 매출</x:t>
  </x:si>
  <x:si>
    <x:t>기타 활동/판관비</x:t>
  </x:si>
  <x:si>
    <x:t>알리쉐르나보이 릿제이</x:t>
  </x:si>
  <x:si>
    <x:t>대표 통장으로 지급</x:t>
  </x:si>
  <x:si>
    <x:t>2026년 2월</x:t>
  </x:si>
  <x:si>
    <x:t>교재 예상 매출</x:t>
  </x:si>
  <x:si>
    <x:t>우즈베키스탄2026년스마트클래스 모집 및 운영 계획</x:t>
  </x:si>
  <x:si>
    <x:t>인터하우스 릿제이(2)</x:t>
  </x:si>
  <x:si>
    <x:t>인터하우스 릿제이(1)</x:t>
  </x:si>
  <x:si>
    <x:t>4분기 월별 목표 요약</x:t>
  </x:si>
  <x:si>
    <x:t>인터하우스 IT 마크탑</x:t>
  </x:si>
  <x:si>
    <x:t>비용</x:t>
  </x:si>
  <x:si>
    <x:t>매출</x:t>
  </x:si>
  <x:si>
    <x:t>임대료</x:t>
  </x:si>
  <x:si>
    <x:t>합계</x:t>
  </x:si>
  <x:si>
    <x:t>구분</x:t>
  </x:si>
  <x:si>
    <x:t>개강월</x:t>
  </x:si>
  <x:si>
    <x:t>미입금</x:t>
  </x:si>
  <x:si>
    <x:t>No</x:t>
  </x:si>
  <x:si>
    <x:t>세금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</x:si>
</x:sst>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_ "/>
    <x:numFmt numFmtId="165" formatCode="mm&quot;월&quot;\ dd&quot;일&quot;"/>
  </x:numFmts>
  <x:fonts count="20"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Pretendard Variable Medium"/>
      <x:sz val="10"/>
      <x:color rgb="ff000000"/>
      <x:b val="1"/>
    </x:font>
    <x:font>
      <x:name val="맑은 고딕"/>
      <x:sz val="11"/>
      <x:color rgb="ff000000"/>
    </x:font>
    <x:font>
      <x:name val="Pretendard SemiBold"/>
      <x:sz val="8"/>
      <x:color rgb="ff000000"/>
    </x:font>
    <x:font>
      <x:name val="맑은 고딕"/>
      <x:sz val="10"/>
      <x:color rgb="ff000000"/>
    </x:font>
    <x:font>
      <x:name val="Pretendard Medium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Pretendard Variable Medium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Pretendard Variable Medium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Medium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Pretendard Variable Medium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Mediu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Pretendard Variable Medium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Mediu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Pretendard Medium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Medium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Pretendard Variable Medium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Medium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Pretendard Variable Medium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</x:fonts>
  <x:fills count="19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fe6d8"/>
        <x:bgColor indexed="64"/>
      </x:patternFill>
    </x:fill>
    <x:fill>
      <x:patternFill patternType="solid">
        <x:fgColor rgb="ffffd700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aedf8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4e93d9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9be5c8"/>
        <x:bgColor indexed="64"/>
      </x:patternFill>
    </x:fill>
  </x:fills>
  <x:borders count="7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 style="medium"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4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applyFont="1" applyFill="1" applyBorder="1" applyAlignment="1">
          <x:alignment horizontal="center" vertical="center" wrapText="1"/>
        </x:xf>
      </mc:Fallback>
    </mc:AlternateContent>
    <x:xf numFmtId="0" fontId="0" fillId="0" borderId="0">
      <x:alignment horizontal="general" vertical="center"/>
    </x:xf>
  </x:cellStyleXfs>
  <x:cellXfs count="265">
    <x:xf numFmtId="0" fontId="0" fillId="0" borderId="0" xfId="0" applyNumberFormat="1">
      <x:alignment horizontal="general" vertical="center"/>
    </x:xf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5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5" xfId="1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6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6" xfId="1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7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7" xfId="1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8" xfId="0" applyNumberFormat="1" applyFont="1" applyFill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8" xfId="0" applyNumberFormat="1" applyFont="1" applyFill="1" applyBorder="1" applyAlignment="1">
          <x:alignment horizontal="left" vertical="center" wrapText="1" readingOrder="1"/>
        </x:xf>
      </mc:Fallback>
    </mc:AlternateContent>
    <x:xf numFmtId="41" fontId="9" fillId="0" borderId="9" xfId="1" applyNumberFormat="1" applyFont="1" applyBorder="1">
      <x:alignment horizontal="general" vertical="center"/>
    </x:xf>
    <x:xf numFmtId="41" fontId="9" fillId="0" borderId="10" xfId="1" applyNumberFormat="1" applyFont="1" applyBorder="1">
      <x:alignment horizontal="general" vertical="center"/>
    </x:xf>
    <x:xf numFmtId="41" fontId="10" fillId="0" borderId="11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12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2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3" xfId="0" applyNumberFormat="1" applyFont="1" applyFill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3" xfId="0" applyNumberFormat="1" applyFont="1" applyFill="1" applyBorder="1" applyAlignment="1">
          <x:alignment horizontal="left" vertical="center" wrapText="1" readingOrder="1"/>
        </x:xf>
      </mc:Fallback>
    </mc:AlternateContent>
    <x:xf numFmtId="41" fontId="9" fillId="0" borderId="14" xfId="1" applyNumberFormat="1" applyFont="1" applyBorder="1">
      <x:alignment horizontal="general" vertical="center"/>
    </x:xf>
    <x:xf numFmtId="41" fontId="9" fillId="0" borderId="15" xfId="1" applyNumberFormat="1" applyFont="1" applyBorder="1">
      <x:alignment horizontal="general" vertical="center"/>
    </x:xf>
    <x:xf numFmtId="41" fontId="10" fillId="0" borderId="16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8" fillId="0" borderId="17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7" xfId="1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8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8" xfId="1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9" xfId="1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9" xfId="1" applyNumberFormat="1" applyFont="1" applyBorder="1" applyAlignment="1">
          <x:alignment horizontal="right" vertical="center" wrapText="1" readingOrder="1"/>
        </x:xf>
      </mc:Fallback>
    </mc:AlternateContent>
    <x:xf numFmtId="0" fontId="11" fillId="0" borderId="17" xfId="0" applyNumberFormat="1" applyFont="1" applyBorder="1" applyAlignment="1">
      <x:alignment horizontal="left" vertical="center"/>
    </x:xf>
    <x:xf numFmtId="0" fontId="11" fillId="0" borderId="18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3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8" xfId="0" applyNumberFormat="1" applyFont="1" applyFill="1" applyBorder="1" applyAlignment="1">
          <x:alignment horizontal="center" vertical="center"/>
        </x:xf>
      </mc:Fallback>
    </mc:AlternateContent>
    <x:xf numFmtId="0" fontId="12" fillId="3" borderId="18" xfId="0" applyNumberFormat="1" applyFont="1" applyFill="1" applyBorder="1" applyAlignment="1">
      <x:alignment horizontal="left" vertical="center"/>
    </x:xf>
    <x:xf numFmtId="0" fontId="13" fillId="3" borderId="19" xfId="0" applyNumberFormat="1" applyFont="1" applyFill="1" applyBorder="1">
      <x:alignment horizontal="general" vertical="center"/>
    </x:xf>
    <x:xf numFmtId="0" fontId="13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6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6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7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8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1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1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9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9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7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7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7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7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9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9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1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1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2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28" xfId="0" applyNumberFormat="1" applyFont="1" applyFill="1" applyBorder="1" applyAlignment="1">
          <x:alignment horizontal="right" vertical="center" wrapText="1"/>
        </x:xf>
      </mc:Fallback>
    </mc:AlternateContent>
    <x:xf numFmtId="0" fontId="7" fillId="3" borderId="28" xfId="0" applyNumberFormat="1" applyFont="1" applyFill="1" applyBorder="1">
      <x:alignment horizontal="general" vertical="center"/>
    </x:xf>
    <x:xf numFmtId="0" fontId="7" fillId="3" borderId="10" xfId="0" applyNumberFormat="1" applyFont="1" applyFill="1" applyBorder="1">
      <x:alignment horizontal="general" vertical="center"/>
    </x:xf>
    <x:xf numFmtId="0" fontId="7" fillId="3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3" fillId="3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3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6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6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7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7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2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0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0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1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1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6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6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2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2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3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3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8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8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10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0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11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1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0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0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1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1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2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2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0" xfId="1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0" xfId="1" applyNumberFormat="1" applyFont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35" xfId="0" applyNumberFormat="1" applyFont="1" applyFill="1" applyBorder="1" applyAlignment="1">
          <x:alignment horizontal="center" vertical="center"/>
        </x:xf>
      </mc:Fallback>
    </mc:AlternateContent>
    <x:xf numFmtId="0" fontId="13" fillId="0" borderId="2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0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0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0" borderId="10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0" borderId="10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9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9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10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0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1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9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9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2" borderId="1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2" borderId="1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3" borderId="22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3" borderId="22" xfId="0" applyNumberFormat="1" applyFont="1" applyFill="1" applyBorder="1" applyAlignment="1">
          <x:alignment horizontal="right" vertical="center" wrapText="1"/>
        </x:xf>
      </mc:Fallback>
    </mc:AlternateContent>
    <x:xf numFmtId="0" fontId="14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1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4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4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4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4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4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4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3" borderId="4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3" borderId="4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6" borderId="4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6" borderId="4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4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4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7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4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4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4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3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3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4" borderId="2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4" borderId="2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9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9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7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7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4" borderId="3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4" borderId="3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5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5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3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3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0" xfId="0" applyNumberFormat="1" applyFont="1" applyFill="1" applyAlignment="1">
          <x:alignment horizontal="center" vertical="center"/>
        </x:xf>
      </mc:Fallback>
    </mc:AlternateContent>
    <x:xf numFmtId="0" fontId="6" fillId="3" borderId="0" xfId="0" applyNumberFormat="1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5" borderId="6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5" borderId="6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5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5" borderId="1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6" borderId="2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6" borderId="28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6" borderId="10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6" borderId="10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5" borderId="4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5" borderId="4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6" borderId="4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6" borderId="4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4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4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2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28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4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4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4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4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2" borderId="4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2" borderId="4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3" borderId="3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3" borderId="37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2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28" xfId="0" applyNumberFormat="1" applyFont="1" applyFill="1" applyBorder="1" applyAlignment="1">
          <x:alignment horizontal="center" vertical="center" wrapText="1" readingOrder="1"/>
        </x:xf>
      </mc:Fallback>
    </mc:AlternateContent>
    <x:xf numFmtId="0" fontId="0" fillId="3" borderId="0" xfId="2" applyNumberFormat="1" applyFill="1">
      <x:alignment horizontal="general" vertical="center"/>
    </x:xf>
    <x:xf numFmtId="0" fontId="13" fillId="3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3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27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27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2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2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3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3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3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3" borderId="0" xfId="0" applyNumberFormat="1" applyFon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28" xfId="0" applyNumberFormat="1" applyFont="1" applyFill="1" applyBorder="1" applyAlignment="1" hs:applyExtension="1">
          <x:alignment horizontal="center" vertical="center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28" xfId="0" applyNumberFormat="1" applyFont="1" applyFill="1" applyBorder="1" applyAlignment="1">
          <x:alignment horizontal="center" vertical="center" readingOrder="1"/>
        </x:xf>
      </mc:Fallback>
    </mc:AlternateContent>
    <x:xf numFmtId="41" fontId="7" fillId="0" borderId="0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0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1" applyNumberFormat="1" applyFont="1" applyBorder="1" applyAlignment="1">
          <x:alignment horizontal="right" vertical="center"/>
        </x:xf>
      </mc:Fallback>
    </mc:AlternateContent>
    <x:xf numFmtId="41" fontId="0" fillId="0" borderId="0" xfId="3" applyNumberFormat="1" applyBorder="1">
      <x:alignment horizontal="general" vertical="center"/>
    </x:xf>
    <x:xf numFmtId="41" fontId="0" fillId="0" borderId="0" xfId="2" applyNumberFormat="1" applyBorder="1">
      <x:alignment horizontal="general" vertical="center"/>
    </x:xf>
    <x:xf numFmtId="0" fontId="14" fillId="0" borderId="6" xfId="0" applyNumberFormat="1" applyFont="1" applyBorder="1">
      <x:alignment horizontal="general" vertical="center"/>
    </x:xf>
    <x:xf numFmtId="3" fontId="14" fillId="0" borderId="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14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4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4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2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2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4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4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5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5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6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6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7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7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8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7" borderId="5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7" borderId="5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7" borderId="6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7" borderId="6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7" borderId="5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7" borderId="5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7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7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4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4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7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7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5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5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16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16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50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50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4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4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7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7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8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9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9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7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7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66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66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6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6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6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6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0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0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40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40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4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4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67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67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25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25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32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32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33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33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1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1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6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68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5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5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7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7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15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15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43" xfId="0" applyNumberFormat="1" applyFont="1" applyFill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43" xfId="0" applyNumberFormat="1" applyFont="1" applyFill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3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3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13" borderId="11" xfId="1" applyNumberFormat="1" applyFont="1" applyFill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13" borderId="11" xfId="1" applyNumberFormat="1" applyFont="1" applyFill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14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14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5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5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11" xfId="0" applyNumberFormat="1" applyFont="1" applyFill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11" xfId="0" applyNumberFormat="1" applyFont="1" applyFill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3" borderId="43" xfId="0" applyNumberFormat="1" applyFont="1" applyFill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3" borderId="43" xfId="0" applyNumberFormat="1" applyFont="1" applyFill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13" borderId="11" xfId="0" applyNumberFormat="1" applyFont="1" applyFill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13" borderId="11" xfId="0" applyNumberFormat="1" applyFont="1" applyFill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46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46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5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5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15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5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49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49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0" borderId="4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0" borderId="4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3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3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48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48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14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4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69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69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0" borderId="15" xfId="0" applyNumberFormat="1" applyFont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0" borderId="15" xfId="0" applyNumberFormat="1" applyFont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4" fillId="0" borderId="49" xfId="0" applyNumberFormat="1" applyFont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4" fillId="0" borderId="49" xfId="0" applyNumberFormat="1" applyFont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70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70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2" fontId="14" fillId="0" borderId="6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2" fontId="14" fillId="0" borderId="6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2" fontId="14" fillId="0" borderId="10" xfId="0" applyNumberFormat="1" applyFont="1" applyBorder="1" applyAlignment="1" hs:applyExtension="1">
          <x:alignment horizontal="righ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2" fontId="14" fillId="0" borderId="10" xfId="0" applyNumberFormat="1" applyFont="1" applyBorder="1" applyAlignment="1">
          <x:alignment horizontal="righ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8" borderId="71" xfId="0" applyNumberFormat="1" applyFont="1" applyFill="1" applyBorder="1" applyAlignment="1" hs:applyExtension="1">
          <x:alignment horizontal="center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71" xfId="0" applyNumberFormat="1" applyFont="1" applyFill="1" applyBorder="1" applyAlignment="1">
          <x:alignment horizontal="center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1" xfId="0" applyNumberFormat="1" applyFont="1" applyFill="1" applyBorder="1" applyAlignment="1">
          <x:alignment horizontal="center" vertical="center" wrapText="1"/>
        </x:xf>
      </mc:Fallback>
    </mc:AlternateContent>
  </x:cellXfs>
  <x:cellStyles count="4">
    <x:cellStyle name="표준" xfId="0" builtinId="0"/>
    <x:cellStyle name="쉼표 [0]" xfId="1" builtinId="6"/>
    <x:cellStyle name="표준 2" xfId="3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G14"/>
  <x:sheetViews>
    <x:sheetView topLeftCell="A1" zoomScaleNormal="100" zoomScaleSheetLayoutView="100" workbookViewId="0">
      <x:selection activeCell="I15" activeCellId="0" sqref="I15:I15"/>
    </x:sheetView>
  </x:sheetViews>
  <x:sheetFormatPr defaultColWidth="8.75" defaultRowHeight="16.39999999999999857891"/>
  <x:cols>
    <x:col min="4" max="4" width="15.25" customWidth="1"/>
    <x:col min="5" max="5" width="12.25" customWidth="1"/>
    <x:col min="6" max="6" width="13.25" customWidth="1"/>
    <x:col min="7" max="7" width="12.25" customWidth="1"/>
  </x:cols>
  <x:sheetData>
    <x:row r="2" spans="2:7">
      <x:c r="B2" s="1"/>
      <x:c r="C2" s="1"/>
      <x:c r="D2" s="1"/>
      <x:c r="E2" s="1"/>
      <x:c r="F2" s="1"/>
      <x:c r="G2" s="1" t="s">
        <x:v>76</x:v>
      </x:c>
    </x:row>
    <x:row r="3" spans="2:7">
      <x:c r="B3" s="165" t="s">
        <x:v>99</x:v>
      </x:c>
      <x:c r="C3" s="166"/>
      <x:c r="D3" s="2" t="s">
        <x:v>71</x:v>
      </x:c>
      <x:c r="E3" s="2" t="s">
        <x:v>88</x:v>
      </x:c>
      <x:c r="F3" s="2" t="s">
        <x:v>69</x:v>
      </x:c>
      <x:c r="G3" s="3" t="s">
        <x:v>98</x:v>
      </x:c>
    </x:row>
    <x:row r="4" spans="2:7">
      <x:c r="B4" s="167" t="s">
        <x:v>96</x:v>
      </x:c>
      <x:c r="C4" s="4" t="s">
        <x:v>16</x:v>
      </x:c>
      <x:c r="D4" s="5">
        <x:v>375</x:v>
      </x:c>
      <x:c r="E4" s="6">
        <x:v>380</x:v>
      </x:c>
      <x:c r="F4" s="6">
        <x:v>54</x:v>
      </x:c>
      <x:c r="G4" s="7"/>
    </x:row>
    <x:row r="5" spans="2:7">
      <x:c r="B5" s="168"/>
      <x:c r="C5" s="8" t="s">
        <x:v>45</x:v>
      </x:c>
      <x:c r="D5" s="9">
        <x:v>152800000</x:v>
      </x:c>
      <x:c r="E5" s="10">
        <x:v>153300000</x:v>
      </x:c>
      <x:c r="F5" s="10">
        <x:f>F4*400000</x:f>
        <x:v>21600000</x:v>
      </x:c>
      <x:c r="G5" s="11"/>
    </x:row>
    <x:row r="6" spans="2:7">
      <x:c r="B6" s="12" t="s">
        <x:v>95</x:v>
      </x:c>
      <x:c r="C6" s="13" t="s">
        <x:v>54</x:v>
      </x:c>
      <x:c r="D6" s="14">
        <x:v>163773250</x:v>
      </x:c>
      <x:c r="E6" s="15">
        <x:v>171793361</x:v>
      </x:c>
      <x:c r="F6" s="15"/>
      <x:c r="G6" s="16"/>
    </x:row>
    <x:row r="7" spans="2:7">
      <x:c r="B7" s="169" t="s">
        <x:v>31</x:v>
      </x:c>
      <x:c r="C7" s="170"/>
      <x:c r="D7" s="17">
        <x:f>D5-D6</x:f>
        <x:v>-10973250</x:v>
      </x:c>
      <x:c r="E7" s="18">
        <x:f t="shared" ref="E7:F7" si="0">E5-E6</x:f>
        <x:v>-18493361</x:v>
      </x:c>
      <x:c r="F7" s="18">
        <x:f t="shared" si="0"/>
        <x:v>21600000</x:v>
      </x:c>
      <x:c r="G7" s="19"/>
    </x:row>
    <x:row r="8" spans="2:7">
      <x:c r="B8" s="1"/>
      <x:c r="C8" s="1"/>
      <x:c r="D8" s="1"/>
      <x:c r="E8" s="1"/>
      <x:c r="F8" s="1"/>
      <x:c r="G8" s="1"/>
    </x:row>
    <x:row r="9" spans="2:7">
      <x:c r="B9" s="1"/>
      <x:c r="C9" s="1"/>
      <x:c r="D9" s="1"/>
      <x:c r="E9" s="1"/>
      <x:c r="F9" s="1"/>
      <x:c r="G9" s="1" t="s">
        <x:v>76</x:v>
      </x:c>
    </x:row>
    <x:row r="10" spans="2:7">
      <x:c r="B10" s="165" t="s">
        <x:v>99</x:v>
      </x:c>
      <x:c r="C10" s="166"/>
      <x:c r="D10" s="2" t="s">
        <x:v>71</x:v>
      </x:c>
      <x:c r="E10" s="2" t="s">
        <x:v>88</x:v>
      </x:c>
      <x:c r="F10" s="2" t="s">
        <x:v>69</x:v>
      </x:c>
      <x:c r="G10" s="3" t="s">
        <x:v>98</x:v>
      </x:c>
    </x:row>
    <x:row r="11" spans="2:7">
      <x:c r="B11" s="167" t="s">
        <x:v>96</x:v>
      </x:c>
      <x:c r="C11" s="4" t="s">
        <x:v>16</x:v>
      </x:c>
      <x:c r="D11" s="5">
        <x:v>384</x:v>
      </x:c>
      <x:c r="E11" s="6">
        <x:v>412</x:v>
      </x:c>
      <x:c r="F11" s="6">
        <x:v>425</x:v>
      </x:c>
      <x:c r="G11" s="7"/>
    </x:row>
    <x:row r="12" spans="2:7">
      <x:c r="B12" s="168"/>
      <x:c r="C12" s="8" t="s">
        <x:v>45</x:v>
      </x:c>
      <x:c r="D12" s="9">
        <x:v>156400000</x:v>
      </x:c>
      <x:c r="E12" s="10">
        <x:v>166100000</x:v>
      </x:c>
      <x:c r="F12" s="10">
        <x:f>F11*400000</x:f>
        <x:v>170000000</x:v>
      </x:c>
      <x:c r="G12" s="11"/>
    </x:row>
    <x:row r="13" spans="2:7">
      <x:c r="B13" s="12" t="s">
        <x:v>95</x:v>
      </x:c>
      <x:c r="C13" s="13" t="s">
        <x:v>54</x:v>
      </x:c>
      <x:c r="D13" s="14">
        <x:v>163773250</x:v>
      </x:c>
      <x:c r="E13" s="15">
        <x:v>171793361</x:v>
      </x:c>
      <x:c r="F13" s="15"/>
      <x:c r="G13" s="16"/>
    </x:row>
    <x:row r="14" spans="2:7">
      <x:c r="B14" s="169" t="s">
        <x:v>31</x:v>
      </x:c>
      <x:c r="C14" s="170"/>
      <x:c r="D14" s="17">
        <x:f>D12-D13</x:f>
        <x:v>-7373250</x:v>
      </x:c>
      <x:c r="E14" s="18">
        <x:f t="shared" ref="E14:F14" si="1">E12-E13</x:f>
        <x:v>-5693361</x:v>
      </x:c>
      <x:c r="F14" s="18">
        <x:f t="shared" si="1"/>
        <x:v>170000000</x:v>
      </x:c>
      <x:c r="G14" s="19"/>
    </x:row>
  </x:sheetData>
  <x:mergeCells count="6">
    <x:mergeCell ref="B3:C3"/>
    <x:mergeCell ref="B4:B5"/>
    <x:mergeCell ref="B7:C7"/>
    <x:mergeCell ref="B10:C10"/>
    <x:mergeCell ref="B11:B12"/>
    <x:mergeCell ref="B14:C14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Q61"/>
  <x:sheetViews>
    <x:sheetView topLeftCell="I40" zoomScaleNormal="100" zoomScaleSheetLayoutView="100" workbookViewId="0">
      <x:selection activeCell="J57" activeCellId="0" sqref="J57:K57"/>
    </x:sheetView>
  </x:sheetViews>
  <x:sheetFormatPr defaultColWidth="8.75" defaultRowHeight="16.39999999999999857891"/>
  <x:cols>
    <x:col min="3" max="3" width="19.375" customWidth="1"/>
    <x:col min="5" max="5" width="15" bestFit="1" customWidth="1"/>
    <x:col min="6" max="6" width="14.125" bestFit="1" customWidth="1"/>
    <x:col min="7" max="7" width="11.875" customWidth="1"/>
    <x:col min="8" max="8" width="13.25" customWidth="1"/>
    <x:col min="9" max="9" width="12.875" customWidth="1"/>
    <x:col min="10" max="10" width="13.125" customWidth="1"/>
    <x:col min="11" max="12" width="12.625" customWidth="1"/>
    <x:col min="13" max="13" width="11.875" customWidth="1"/>
    <x:col min="14" max="14" width="13.16015625" bestFit="1" customWidth="1"/>
    <x:col min="15" max="15" width="11.125" customWidth="1"/>
    <x:col min="16" max="16" width="12.01171875" bestFit="1" customWidth="1"/>
  </x:cols>
  <x:sheetData>
    <x:row r="2" spans="2:17" ht="20.69999999999999928946">
      <x:c r="B2" s="20" t="s">
        <x:v>90</x:v>
      </x:c>
      <x:c r="C2" s="21"/>
      <x:c r="D2" s="21"/>
      <x:c r="E2" s="21"/>
      <x:c r="F2" s="22"/>
      <x:c r="G2" s="23" t="s">
        <x:v>32</x:v>
      </x:c>
      <x:c r="H2" s="24" t="s">
        <x:v>48</x:v>
      </x:c>
      <x:c r="I2" s="24" t="s">
        <x:v>52</x:v>
      </x:c>
      <x:c r="J2" s="25"/>
      <x:c r="K2" s="25"/>
      <x:c r="L2" s="25"/>
      <x:c r="M2" s="25"/>
      <x:c r="N2" s="25"/>
      <x:c r="O2" s="25"/>
      <x:c r="P2" s="25"/>
      <x:c r="Q2" s="1"/>
    </x:row>
    <x:row r="3" spans="2:17"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1"/>
    </x:row>
    <x:row r="4" spans="2:17">
      <x:c r="B4" s="171" t="s">
        <x:v>102</x:v>
      </x:c>
      <x:c r="C4" s="173" t="s">
        <x:v>6</x:v>
      </x:c>
      <x:c r="D4" s="175" t="s">
        <x:v>100</x:v>
      </x:c>
      <x:c r="E4" s="177" t="s">
        <x:v>7</x:v>
      </x:c>
      <x:c r="F4" s="178"/>
      <x:c r="G4" s="178"/>
      <x:c r="H4" s="175"/>
      <x:c r="I4" s="179" t="s">
        <x:v>13</x:v>
      </x:c>
      <x:c r="J4" s="180"/>
      <x:c r="K4" s="180"/>
      <x:c r="L4" s="180"/>
      <x:c r="M4" s="181" t="s">
        <x:v>60</x:v>
      </x:c>
      <x:c r="N4" s="182"/>
      <x:c r="O4" s="182"/>
      <x:c r="P4" s="183"/>
      <x:c r="Q4" s="124"/>
    </x:row>
    <x:row r="5" spans="2:17">
      <x:c r="B5" s="172"/>
      <x:c r="C5" s="174"/>
      <x:c r="D5" s="176"/>
      <x:c r="E5" s="26" t="s">
        <x:v>41</x:v>
      </x:c>
      <x:c r="F5" s="27" t="s">
        <x:v>27</x:v>
      </x:c>
      <x:c r="G5" s="27" t="s">
        <x:v>53</x:v>
      </x:c>
      <x:c r="H5" s="28" t="s">
        <x:v>51</x:v>
      </x:c>
      <x:c r="I5" s="26" t="s">
        <x:v>41</x:v>
      </x:c>
      <x:c r="J5" s="27" t="s">
        <x:v>27</x:v>
      </x:c>
      <x:c r="K5" s="27" t="s">
        <x:v>53</x:v>
      </x:c>
      <x:c r="L5" s="28" t="s">
        <x:v>51</x:v>
      </x:c>
      <x:c r="M5" s="125" t="s">
        <x:v>41</x:v>
      </x:c>
      <x:c r="N5" s="126" t="s">
        <x:v>27</x:v>
      </x:c>
      <x:c r="O5" s="126" t="s">
        <x:v>53</x:v>
      </x:c>
      <x:c r="P5" s="127" t="s">
        <x:v>51</x:v>
      </x:c>
      <x:c r="Q5" s="1"/>
    </x:row>
    <x:row r="6" spans="2:17">
      <x:c r="B6" s="29">
        <x:v>1</x:v>
      </x:c>
      <x:c r="C6" s="30" t="s">
        <x:v>21</x:v>
      </x:c>
      <x:c r="D6" s="31"/>
      <x:c r="E6" s="32"/>
      <x:c r="F6" s="128">
        <x:v>33</x:v>
      </x:c>
      <x:c r="G6" s="34"/>
      <x:c r="H6" s="35"/>
      <x:c r="I6" s="32"/>
      <x:c r="J6" s="128">
        <x:v>33</x:v>
      </x:c>
      <x:c r="K6" s="34"/>
      <x:c r="L6" s="35"/>
      <x:c r="M6" s="32"/>
      <x:c r="N6" s="34"/>
      <x:c r="O6" s="34"/>
      <x:c r="P6" s="35"/>
      <x:c r="Q6" s="1"/>
    </x:row>
    <x:row r="7" spans="2:17">
      <x:c r="B7" s="36">
        <x:v>2</x:v>
      </x:c>
      <x:c r="C7" s="37" t="s">
        <x:v>73</x:v>
      </x:c>
      <x:c r="D7" s="38"/>
      <x:c r="E7" s="39"/>
      <x:c r="F7" s="128">
        <x:v>33</x:v>
      </x:c>
      <x:c r="G7" s="33"/>
      <x:c r="H7" s="40"/>
      <x:c r="I7" s="39"/>
      <x:c r="J7" s="128">
        <x:v>33</x:v>
      </x:c>
      <x:c r="K7" s="33"/>
      <x:c r="L7" s="40"/>
      <x:c r="M7" s="39"/>
      <x:c r="N7" s="33"/>
      <x:c r="O7" s="33"/>
      <x:c r="P7" s="40"/>
      <x:c r="Q7" s="1"/>
    </x:row>
    <x:row r="8" spans="2:17">
      <x:c r="B8" s="36">
        <x:v>3</x:v>
      </x:c>
      <x:c r="C8" s="37" t="s">
        <x:v>77</x:v>
      </x:c>
      <x:c r="D8" s="38"/>
      <x:c r="E8" s="41"/>
      <x:c r="F8" s="129">
        <x:v>32</x:v>
      </x:c>
      <x:c r="G8" s="33"/>
      <x:c r="H8" s="40"/>
      <x:c r="I8" s="39"/>
      <x:c r="J8" s="129">
        <x:v>32</x:v>
      </x:c>
      <x:c r="K8" s="33"/>
      <x:c r="L8" s="40"/>
      <x:c r="M8" s="39"/>
      <x:c r="N8" s="33"/>
      <x:c r="O8" s="33"/>
      <x:c r="P8" s="40"/>
      <x:c r="Q8" s="1"/>
    </x:row>
    <x:row r="9" spans="2:17">
      <x:c r="B9" s="36">
        <x:v>4</x:v>
      </x:c>
      <x:c r="C9" s="37" t="s">
        <x:v>10</x:v>
      </x:c>
      <x:c r="D9" s="38"/>
      <x:c r="E9" s="41"/>
      <x:c r="F9" s="129">
        <x:v>32</x:v>
      </x:c>
      <x:c r="G9" s="33"/>
      <x:c r="H9" s="40"/>
      <x:c r="I9" s="39"/>
      <x:c r="J9" s="128">
        <x:v>32</x:v>
      </x:c>
      <x:c r="K9" s="33"/>
      <x:c r="L9" s="40"/>
      <x:c r="M9" s="39"/>
      <x:c r="N9" s="33"/>
      <x:c r="O9" s="33"/>
      <x:c r="P9" s="40"/>
      <x:c r="Q9" s="1"/>
    </x:row>
    <x:row r="10" spans="2:17">
      <x:c r="B10" s="36">
        <x:v>5</x:v>
      </x:c>
      <x:c r="C10" s="37" t="s">
        <x:v>82</x:v>
      </x:c>
      <x:c r="D10" s="38"/>
      <x:c r="E10" s="41"/>
      <x:c r="F10" s="129">
        <x:v>32</x:v>
      </x:c>
      <x:c r="G10" s="33"/>
      <x:c r="H10" s="40"/>
      <x:c r="I10" s="39"/>
      <x:c r="J10" s="128">
        <x:v>32</x:v>
      </x:c>
      <x:c r="K10" s="33"/>
      <x:c r="L10" s="40"/>
      <x:c r="M10" s="39"/>
      <x:c r="N10" s="33"/>
      <x:c r="O10" s="33"/>
      <x:c r="P10" s="40"/>
      <x:c r="Q10" s="1"/>
    </x:row>
    <x:row r="11" spans="2:17">
      <x:c r="B11" s="36">
        <x:v>6</x:v>
      </x:c>
      <x:c r="C11" s="37" t="s">
        <x:v>64</x:v>
      </x:c>
      <x:c r="D11" s="38"/>
      <x:c r="E11" s="41"/>
      <x:c r="F11" s="44">
        <x:v>27</x:v>
      </x:c>
      <x:c r="G11" s="33"/>
      <x:c r="H11" s="40"/>
      <x:c r="I11" s="39"/>
      <x:c r="J11" s="44">
        <x:v>27</x:v>
      </x:c>
      <x:c r="K11" s="33"/>
      <x:c r="L11" s="40"/>
      <x:c r="M11" s="39"/>
      <x:c r="N11" s="33"/>
      <x:c r="O11" s="33"/>
      <x:c r="P11" s="40"/>
      <x:c r="Q11" s="1"/>
    </x:row>
    <x:row r="12" spans="2:17">
      <x:c r="B12" s="36">
        <x:v>7</x:v>
      </x:c>
      <x:c r="C12" s="37" t="s">
        <x:v>30</x:v>
      </x:c>
      <x:c r="D12" s="38"/>
      <x:c r="E12" s="41"/>
      <x:c r="F12" s="33"/>
      <x:c r="G12" s="33"/>
      <x:c r="H12" s="40"/>
      <x:c r="I12" s="39"/>
      <x:c r="J12" s="33"/>
      <x:c r="K12" s="33"/>
      <x:c r="L12" s="40"/>
      <x:c r="M12" s="39"/>
      <x:c r="N12" s="33"/>
      <x:c r="O12" s="33"/>
      <x:c r="P12" s="40"/>
      <x:c r="Q12" s="1"/>
    </x:row>
    <x:row r="13" spans="2:17">
      <x:c r="B13" s="36">
        <x:v>8</x:v>
      </x:c>
      <x:c r="C13" s="37" t="s">
        <x:v>83</x:v>
      </x:c>
      <x:c r="D13" s="38"/>
      <x:c r="E13" s="41"/>
      <x:c r="F13" s="44">
        <x:v>27</x:v>
      </x:c>
      <x:c r="G13" s="33"/>
      <x:c r="H13" s="40"/>
      <x:c r="I13" s="39"/>
      <x:c r="J13" s="44">
        <x:v>27</x:v>
      </x:c>
      <x:c r="K13" s="33"/>
      <x:c r="L13" s="40"/>
      <x:c r="M13" s="39"/>
      <x:c r="N13" s="33"/>
      <x:c r="O13" s="33"/>
      <x:c r="P13" s="40"/>
      <x:c r="Q13" s="1"/>
    </x:row>
    <x:row r="14" spans="2:17">
      <x:c r="B14" s="36">
        <x:v>9</x:v>
      </x:c>
      <x:c r="C14" s="37" t="s">
        <x:v>92</x:v>
      </x:c>
      <x:c r="D14" s="38"/>
      <x:c r="E14" s="41"/>
      <x:c r="F14" s="33"/>
      <x:c r="G14" s="33"/>
      <x:c r="H14" s="40"/>
      <x:c r="I14" s="39"/>
      <x:c r="J14" s="33"/>
      <x:c r="K14" s="33"/>
      <x:c r="L14" s="40"/>
      <x:c r="M14" s="39"/>
      <x:c r="N14" s="33"/>
      <x:c r="O14" s="33"/>
      <x:c r="P14" s="40"/>
      <x:c r="Q14" s="1"/>
    </x:row>
    <x:row r="15" spans="2:17">
      <x:c r="B15" s="36">
        <x:v>10</x:v>
      </x:c>
      <x:c r="C15" s="37" t="s">
        <x:v>91</x:v>
      </x:c>
      <x:c r="D15" s="38"/>
      <x:c r="E15" s="41"/>
      <x:c r="F15" s="33"/>
      <x:c r="G15" s="33"/>
      <x:c r="H15" s="40"/>
      <x:c r="I15" s="39"/>
      <x:c r="J15" s="33"/>
      <x:c r="K15" s="33"/>
      <x:c r="L15" s="40"/>
      <x:c r="M15" s="39"/>
      <x:c r="N15" s="33"/>
      <x:c r="O15" s="33"/>
      <x:c r="P15" s="40"/>
      <x:c r="Q15" s="1"/>
    </x:row>
    <x:row r="16" spans="2:17">
      <x:c r="B16" s="36">
        <x:v>11</x:v>
      </x:c>
      <x:c r="C16" s="37" t="s">
        <x:v>94</x:v>
      </x:c>
      <x:c r="D16" s="38"/>
      <x:c r="E16" s="41"/>
      <x:c r="F16" s="33"/>
      <x:c r="G16" s="33"/>
      <x:c r="H16" s="40"/>
      <x:c r="I16" s="39"/>
      <x:c r="J16" s="33"/>
      <x:c r="K16" s="33"/>
      <x:c r="L16" s="40"/>
      <x:c r="M16" s="39"/>
      <x:c r="N16" s="33"/>
      <x:c r="O16" s="33"/>
      <x:c r="P16" s="40"/>
      <x:c r="Q16" s="1"/>
    </x:row>
    <x:row r="17" spans="2:17">
      <x:c r="B17" s="36">
        <x:v>12</x:v>
      </x:c>
      <x:c r="C17" s="37" t="s">
        <x:v>28</x:v>
      </x:c>
      <x:c r="D17" s="38"/>
      <x:c r="E17" s="41"/>
      <x:c r="F17" s="44">
        <x:v>21</x:v>
      </x:c>
      <x:c r="G17" s="33"/>
      <x:c r="H17" s="40"/>
      <x:c r="I17" s="39"/>
      <x:c r="J17" s="44">
        <x:v>21</x:v>
      </x:c>
      <x:c r="K17" s="33"/>
      <x:c r="L17" s="40"/>
      <x:c r="M17" s="39"/>
      <x:c r="N17" s="33"/>
      <x:c r="O17" s="33"/>
      <x:c r="P17" s="40"/>
      <x:c r="Q17" s="1"/>
    </x:row>
    <x:row r="18" spans="2:17">
      <x:c r="B18" s="36">
        <x:v>13</x:v>
      </x:c>
      <x:c r="C18" s="45" t="s">
        <x:v>47</x:v>
      </x:c>
      <x:c r="D18" s="46"/>
      <x:c r="E18" s="47"/>
      <x:c r="F18" s="48"/>
      <x:c r="G18" s="48"/>
      <x:c r="H18" s="49"/>
      <x:c r="I18" s="50"/>
      <x:c r="J18" s="48"/>
      <x:c r="K18" s="48"/>
      <x:c r="L18" s="49"/>
      <x:c r="M18" s="50"/>
      <x:c r="N18" s="48"/>
      <x:c r="O18" s="48"/>
      <x:c r="P18" s="49"/>
      <x:c r="Q18" s="1"/>
    </x:row>
    <x:row r="19" spans="2:17">
      <x:c r="B19" s="36">
        <x:v>14</x:v>
      </x:c>
      <x:c r="C19" s="37" t="s">
        <x:v>24</x:v>
      </x:c>
      <x:c r="D19" s="38"/>
      <x:c r="E19" s="44">
        <x:v>13</x:v>
      </x:c>
      <x:c r="F19" s="44">
        <x:v>6</x:v>
      </x:c>
      <x:c r="G19" s="33"/>
      <x:c r="H19" s="40"/>
      <x:c r="I19" s="44">
        <x:v>10</x:v>
      </x:c>
      <x:c r="J19" s="44">
        <x:v>4</x:v>
      </x:c>
      <x:c r="K19" s="33"/>
      <x:c r="L19" s="40"/>
      <x:c r="M19" s="44">
        <x:v>2</x:v>
      </x:c>
      <x:c r="N19" s="44">
        <x:v>1</x:v>
      </x:c>
      <x:c r="O19" s="33"/>
      <x:c r="P19" s="40"/>
      <x:c r="Q19" s="1"/>
    </x:row>
    <x:row r="20" spans="2:17">
      <x:c r="B20" s="36">
        <x:v>15</x:v>
      </x:c>
      <x:c r="C20" s="37" t="s">
        <x:v>37</x:v>
      </x:c>
      <x:c r="D20" s="38"/>
      <x:c r="E20" s="41"/>
      <x:c r="F20" s="44">
        <x:v>21</x:v>
      </x:c>
      <x:c r="G20" s="33"/>
      <x:c r="H20" s="40"/>
      <x:c r="I20" s="39"/>
      <x:c r="J20" s="44">
        <x:v>17</x:v>
      </x:c>
      <x:c r="K20" s="33"/>
      <x:c r="L20" s="40"/>
      <x:c r="M20" s="39"/>
      <x:c r="N20" s="44">
        <x:v>3</x:v>
      </x:c>
      <x:c r="O20" s="33"/>
      <x:c r="P20" s="40"/>
      <x:c r="Q20" s="1"/>
    </x:row>
    <x:row r="21" spans="2:17">
      <x:c r="B21" s="36">
        <x:v>16</x:v>
      </x:c>
      <x:c r="C21" s="42" t="s">
        <x:v>11</x:v>
      </x:c>
      <x:c r="D21" s="43"/>
      <x:c r="E21" s="41"/>
      <x:c r="F21" s="33"/>
      <x:c r="G21" s="33"/>
      <x:c r="H21" s="40"/>
      <x:c r="I21" s="39"/>
      <x:c r="J21" s="33"/>
      <x:c r="K21" s="33"/>
      <x:c r="L21" s="40"/>
      <x:c r="M21" s="39"/>
      <x:c r="N21" s="33"/>
      <x:c r="O21" s="33"/>
      <x:c r="P21" s="40"/>
      <x:c r="Q21" s="1"/>
    </x:row>
    <x:row r="22" spans="2:17">
      <x:c r="B22" s="36">
        <x:v>17</x:v>
      </x:c>
      <x:c r="C22" s="42" t="s">
        <x:v>29</x:v>
      </x:c>
      <x:c r="D22" s="43"/>
      <x:c r="E22" s="41"/>
      <x:c r="F22" s="44">
        <x:v>7</x:v>
      </x:c>
      <x:c r="G22" s="33"/>
      <x:c r="H22" s="40"/>
      <x:c r="I22" s="39"/>
      <x:c r="J22" s="44">
        <x:v>7</x:v>
      </x:c>
      <x:c r="K22" s="33"/>
      <x:c r="L22" s="40"/>
      <x:c r="M22" s="39"/>
      <x:c r="N22" s="33"/>
      <x:c r="O22" s="33"/>
      <x:c r="P22" s="40"/>
      <x:c r="Q22" s="1"/>
    </x:row>
    <x:row r="23" spans="2:17">
      <x:c r="B23" s="36">
        <x:v>18</x:v>
      </x:c>
      <x:c r="C23" s="37" t="s">
        <x:v>39</x:v>
      </x:c>
      <x:c r="D23" s="38"/>
      <x:c r="E23" s="44">
        <x:v>4</x:v>
      </x:c>
      <x:c r="F23" s="44">
        <x:v>6</x:v>
      </x:c>
      <x:c r="G23" s="33"/>
      <x:c r="H23" s="40"/>
      <x:c r="I23" s="44">
        <x:v>10</x:v>
      </x:c>
      <x:c r="J23" s="44">
        <x:v>12</x:v>
      </x:c>
      <x:c r="K23" s="33"/>
      <x:c r="L23" s="40"/>
      <x:c r="M23" s="44">
        <x:v>2</x:v>
      </x:c>
      <x:c r="N23" s="44">
        <x:v>2</x:v>
      </x:c>
      <x:c r="O23" s="33"/>
      <x:c r="P23" s="40"/>
      <x:c r="Q23" s="1"/>
    </x:row>
    <x:row r="24" spans="2:17">
      <x:c r="B24" s="36">
        <x:v>19</x:v>
      </x:c>
      <x:c r="C24" s="37" t="s">
        <x:v>26</x:v>
      </x:c>
      <x:c r="D24" s="43"/>
      <x:c r="E24" s="41"/>
      <x:c r="F24" s="44">
        <x:v>8</x:v>
      </x:c>
      <x:c r="G24" s="33"/>
      <x:c r="H24" s="44">
        <x:v>1</x:v>
      </x:c>
      <x:c r="I24" s="39"/>
      <x:c r="J24" s="44">
        <x:v>9</x:v>
      </x:c>
      <x:c r="K24" s="33"/>
      <x:c r="L24" s="40"/>
      <x:c r="M24" s="33"/>
      <x:c r="N24" s="44">
        <x:v>1</x:v>
      </x:c>
      <x:c r="O24" s="33"/>
      <x:c r="P24" s="40"/>
      <x:c r="Q24" s="1"/>
    </x:row>
    <x:row r="25" spans="2:17">
      <x:c r="B25" s="36">
        <x:v>20</x:v>
      </x:c>
      <x:c r="C25" s="37" t="s">
        <x:v>18</x:v>
      </x:c>
      <x:c r="D25" s="43"/>
      <x:c r="E25" s="44">
        <x:v>8</x:v>
      </x:c>
      <x:c r="F25" s="44">
        <x:v>5</x:v>
      </x:c>
      <x:c r="G25" s="33"/>
      <x:c r="H25" s="40"/>
      <x:c r="I25" s="44">
        <x:v>10</x:v>
      </x:c>
      <x:c r="J25" s="44">
        <x:v>10</x:v>
      </x:c>
      <x:c r="K25" s="33"/>
      <x:c r="L25" s="40"/>
      <x:c r="M25" s="44">
        <x:v>2</x:v>
      </x:c>
      <x:c r="N25" s="44">
        <x:v>3</x:v>
      </x:c>
      <x:c r="O25" s="33"/>
      <x:c r="P25" s="40"/>
      <x:c r="Q25" s="1"/>
    </x:row>
    <x:row r="26" spans="2:17">
      <x:c r="B26" s="36">
        <x:v>21</x:v>
      </x:c>
      <x:c r="C26" s="45" t="s">
        <x:v>68</x:v>
      </x:c>
      <x:c r="D26" s="46"/>
      <x:c r="E26" s="47"/>
      <x:c r="F26" s="48"/>
      <x:c r="G26" s="48"/>
      <x:c r="H26" s="49"/>
      <x:c r="I26" s="50"/>
      <x:c r="J26" s="48"/>
      <x:c r="K26" s="48"/>
      <x:c r="L26" s="49"/>
      <x:c r="M26" s="50"/>
      <x:c r="N26" s="48"/>
      <x:c r="O26" s="48"/>
      <x:c r="P26" s="49"/>
      <x:c r="Q26" s="1"/>
    </x:row>
    <x:row r="27" spans="2:17">
      <x:c r="B27" s="36">
        <x:v>22</x:v>
      </x:c>
      <x:c r="C27" s="37" t="s">
        <x:v>9</x:v>
      </x:c>
      <x:c r="D27" s="43"/>
      <x:c r="E27" s="41"/>
      <x:c r="F27" s="44">
        <x:v>7</x:v>
      </x:c>
      <x:c r="G27" s="33"/>
      <x:c r="H27" s="40"/>
      <x:c r="I27" s="39"/>
      <x:c r="J27" s="44">
        <x:v>5</x:v>
      </x:c>
      <x:c r="K27" s="33"/>
      <x:c r="L27" s="40"/>
      <x:c r="M27" s="39"/>
      <x:c r="N27" s="44">
        <x:v>1</x:v>
      </x:c>
      <x:c r="O27" s="33"/>
      <x:c r="P27" s="40"/>
      <x:c r="Q27" s="1"/>
    </x:row>
    <x:row r="28" spans="2:17">
      <x:c r="B28" s="36">
        <x:v>23</x:v>
      </x:c>
      <x:c r="C28" s="37" t="s">
        <x:v>5</x:v>
      </x:c>
      <x:c r="D28" s="43"/>
      <x:c r="E28" s="41"/>
      <x:c r="F28" s="33"/>
      <x:c r="G28" s="33"/>
      <x:c r="H28" s="40"/>
      <x:c r="I28" s="39"/>
      <x:c r="J28" s="33"/>
      <x:c r="K28" s="33"/>
      <x:c r="L28" s="40"/>
      <x:c r="M28" s="39"/>
      <x:c r="N28" s="33"/>
      <x:c r="O28" s="33"/>
      <x:c r="P28" s="40"/>
      <x:c r="Q28" s="1"/>
    </x:row>
    <x:row r="29" spans="2:17">
      <x:c r="B29" s="36">
        <x:v>24</x:v>
      </x:c>
      <x:c r="C29" s="37" t="s">
        <x:v>22</x:v>
      </x:c>
      <x:c r="D29" s="43"/>
      <x:c r="E29" s="41"/>
      <x:c r="F29" s="33"/>
      <x:c r="G29" s="33"/>
      <x:c r="H29" s="40"/>
      <x:c r="I29" s="39"/>
      <x:c r="J29" s="33"/>
      <x:c r="K29" s="33"/>
      <x:c r="L29" s="40"/>
      <x:c r="M29" s="39"/>
      <x:c r="N29" s="33"/>
      <x:c r="O29" s="33"/>
      <x:c r="P29" s="40"/>
      <x:c r="Q29" s="1"/>
    </x:row>
    <x:row r="30" spans="2:17">
      <x:c r="B30" s="36">
        <x:v>25</x:v>
      </x:c>
      <x:c r="C30" s="37" t="s">
        <x:v>2</x:v>
      </x:c>
      <x:c r="D30" s="43"/>
      <x:c r="E30" s="39"/>
      <x:c r="F30" s="44">
        <x:v>7</x:v>
      </x:c>
      <x:c r="G30" s="33"/>
      <x:c r="H30" s="40"/>
      <x:c r="I30" s="39"/>
      <x:c r="J30" s="44">
        <x:v>7</x:v>
      </x:c>
      <x:c r="K30" s="33"/>
      <x:c r="L30" s="40"/>
      <x:c r="M30" s="39"/>
      <x:c r="N30" s="44">
        <x:v>2</x:v>
      </x:c>
      <x:c r="O30" s="33"/>
      <x:c r="P30" s="40"/>
      <x:c r="Q30" s="1"/>
    </x:row>
    <x:row r="31" spans="2:17">
      <x:c r="B31" s="36">
        <x:v>26</x:v>
      </x:c>
      <x:c r="C31" s="37" t="s">
        <x:v>81</x:v>
      </x:c>
      <x:c r="D31" s="43"/>
      <x:c r="E31" s="39"/>
      <x:c r="F31" s="44">
        <x:v>15</x:v>
      </x:c>
      <x:c r="G31" s="33"/>
      <x:c r="H31" s="40"/>
      <x:c r="I31" s="39"/>
      <x:c r="J31" s="44">
        <x:v>15</x:v>
      </x:c>
      <x:c r="K31" s="33"/>
      <x:c r="L31" s="40"/>
      <x:c r="M31" s="39"/>
      <x:c r="N31" s="44">
        <x:v>15</x:v>
      </x:c>
      <x:c r="O31" s="33"/>
      <x:c r="P31" s="40"/>
      <x:c r="Q31" s="1"/>
    </x:row>
    <x:row r="32" spans="2:17">
      <x:c r="B32" s="36">
        <x:v>27</x:v>
      </x:c>
      <x:c r="C32" s="37" t="s">
        <x:v>46</x:v>
      </x:c>
      <x:c r="D32" s="43"/>
      <x:c r="E32" s="39"/>
      <x:c r="F32" s="33"/>
      <x:c r="G32" s="33"/>
      <x:c r="H32" s="40"/>
      <x:c r="I32" s="51"/>
      <x:c r="J32" s="52"/>
      <x:c r="K32" s="33"/>
      <x:c r="L32" s="40"/>
      <x:c r="M32" s="39"/>
      <x:c r="N32" s="33"/>
      <x:c r="O32" s="33"/>
      <x:c r="P32" s="40"/>
      <x:c r="Q32" s="1"/>
    </x:row>
    <x:row r="33" spans="2:17">
      <x:c r="B33" s="36">
        <x:v>28</x:v>
      </x:c>
      <x:c r="C33" s="37" t="s">
        <x:v>40</x:v>
      </x:c>
      <x:c r="D33" s="43"/>
      <x:c r="E33" s="39"/>
      <x:c r="F33" s="33"/>
      <x:c r="G33" s="33"/>
      <x:c r="H33" s="40"/>
      <x:c r="I33" s="39"/>
      <x:c r="J33" s="33"/>
      <x:c r="K33" s="33"/>
      <x:c r="L33" s="40"/>
      <x:c r="M33" s="33"/>
      <x:c r="N33" s="39"/>
      <x:c r="O33" s="33"/>
      <x:c r="P33" s="40"/>
      <x:c r="Q33" s="1"/>
    </x:row>
    <x:row r="34" spans="2:17">
      <x:c r="B34" s="36">
        <x:v>29</x:v>
      </x:c>
      <x:c r="C34" s="37" t="s">
        <x:v>3</x:v>
      </x:c>
      <x:c r="D34" s="43"/>
      <x:c r="E34" s="39"/>
      <x:c r="F34" s="33"/>
      <x:c r="G34" s="33"/>
      <x:c r="H34" s="40"/>
      <x:c r="I34" s="39"/>
      <x:c r="J34" s="33"/>
      <x:c r="K34" s="33"/>
      <x:c r="L34" s="40"/>
      <x:c r="M34" s="39"/>
      <x:c r="N34" s="33"/>
      <x:c r="O34" s="33"/>
      <x:c r="P34" s="40"/>
      <x:c r="Q34" s="1"/>
    </x:row>
    <x:row r="35" spans="2:17">
      <x:c r="B35" s="36">
        <x:v>30</x:v>
      </x:c>
      <x:c r="C35" s="37" t="s">
        <x:v>63</x:v>
      </x:c>
      <x:c r="D35" s="43"/>
      <x:c r="E35" s="39"/>
      <x:c r="F35" s="33"/>
      <x:c r="G35" s="33"/>
      <x:c r="H35" s="40"/>
      <x:c r="I35" s="39"/>
      <x:c r="J35" s="33"/>
      <x:c r="K35" s="33"/>
      <x:c r="L35" s="40"/>
      <x:c r="M35" s="44">
        <x:v>1</x:v>
      </x:c>
      <x:c r="N35" s="44">
        <x:v>4</x:v>
      </x:c>
      <x:c r="O35" s="33"/>
      <x:c r="P35" s="40"/>
      <x:c r="Q35" s="1"/>
    </x:row>
    <x:row r="36" spans="2:17">
      <x:c r="B36" s="36">
        <x:v>31</x:v>
      </x:c>
      <x:c r="C36" s="37" t="s">
        <x:v>44</x:v>
      </x:c>
      <x:c r="D36" s="43"/>
      <x:c r="E36" s="44">
        <x:v>7</x:v>
      </x:c>
      <x:c r="F36" s="44">
        <x:v>5</x:v>
      </x:c>
      <x:c r="G36" s="33"/>
      <x:c r="H36" s="40"/>
      <x:c r="I36" s="44">
        <x:v>5</x:v>
      </x:c>
      <x:c r="J36" s="44">
        <x:v>4</x:v>
      </x:c>
      <x:c r="K36" s="33"/>
      <x:c r="L36" s="40"/>
      <x:c r="M36" s="44">
        <x:v>4</x:v>
      </x:c>
      <x:c r="N36" s="44">
        <x:v>4</x:v>
      </x:c>
      <x:c r="O36" s="33"/>
      <x:c r="P36" s="40"/>
      <x:c r="Q36" s="1"/>
    </x:row>
    <x:row r="37" spans="2:17">
      <x:c r="B37" s="36">
        <x:v>32</x:v>
      </x:c>
      <x:c r="C37" s="42" t="s">
        <x:v>43</x:v>
      </x:c>
      <x:c r="D37" s="43"/>
      <x:c r="E37" s="39"/>
      <x:c r="F37" s="33"/>
      <x:c r="G37" s="33"/>
      <x:c r="H37" s="40"/>
      <x:c r="I37" s="39"/>
      <x:c r="J37" s="44">
        <x:v>11</x:v>
      </x:c>
      <x:c r="K37" s="33"/>
      <x:c r="L37" s="40"/>
      <x:c r="M37" s="39"/>
      <x:c r="N37" s="33"/>
      <x:c r="O37" s="33"/>
      <x:c r="P37" s="40"/>
      <x:c r="Q37" s="1"/>
    </x:row>
    <x:row r="38" spans="2:17">
      <x:c r="B38" s="36">
        <x:v>33</x:v>
      </x:c>
      <x:c r="C38" s="45" t="s">
        <x:v>23</x:v>
      </x:c>
      <x:c r="D38" s="46"/>
      <x:c r="E38" s="50"/>
      <x:c r="F38" s="48"/>
      <x:c r="G38" s="48"/>
      <x:c r="H38" s="49"/>
      <x:c r="I38" s="50"/>
      <x:c r="J38" s="48"/>
      <x:c r="K38" s="48"/>
      <x:c r="L38" s="49"/>
      <x:c r="M38" s="50"/>
      <x:c r="N38" s="48"/>
      <x:c r="O38" s="48"/>
      <x:c r="P38" s="49"/>
      <x:c r="Q38" s="1"/>
    </x:row>
    <x:row r="39" spans="2:17">
      <x:c r="B39" s="36">
        <x:v>34</x:v>
      </x:c>
      <x:c r="C39" s="37" t="s">
        <x:v>38</x:v>
      </x:c>
      <x:c r="D39" s="54"/>
      <x:c r="E39" s="39"/>
      <x:c r="F39" s="44">
        <x:v>5</x:v>
      </x:c>
      <x:c r="G39" s="33"/>
      <x:c r="H39" s="40"/>
      <x:c r="I39" s="39"/>
      <x:c r="J39" s="44">
        <x:v>7</x:v>
      </x:c>
      <x:c r="K39" s="33"/>
      <x:c r="L39" s="40"/>
      <x:c r="M39" s="39"/>
      <x:c r="N39" s="44">
        <x:v>7</x:v>
      </x:c>
      <x:c r="O39" s="33"/>
      <x:c r="P39" s="33"/>
      <x:c r="Q39" s="1"/>
    </x:row>
    <x:row r="40" spans="2:17">
      <x:c r="B40" s="36">
        <x:v>35</x:v>
      </x:c>
      <x:c r="C40" s="37" t="s">
        <x:v>14</x:v>
      </x:c>
      <x:c r="D40" s="54"/>
      <x:c r="E40" s="39"/>
      <x:c r="F40" s="44">
        <x:v>5</x:v>
      </x:c>
      <x:c r="G40" s="33"/>
      <x:c r="H40" s="40"/>
      <x:c r="I40" s="39"/>
      <x:c r="J40" s="33"/>
      <x:c r="K40" s="33"/>
      <x:c r="L40" s="40"/>
      <x:c r="M40" s="39"/>
      <x:c r="N40" s="33"/>
      <x:c r="O40" s="33"/>
      <x:c r="P40" s="40"/>
      <x:c r="Q40" s="1"/>
    </x:row>
    <x:row r="41" spans="2:17">
      <x:c r="B41" s="36">
        <x:v>36</x:v>
      </x:c>
      <x:c r="C41" s="42" t="s">
        <x:v>8</x:v>
      </x:c>
      <x:c r="D41" s="54"/>
      <x:c r="E41" s="39"/>
      <x:c r="F41" s="44">
        <x:v>5</x:v>
      </x:c>
      <x:c r="G41" s="33"/>
      <x:c r="H41" s="40"/>
      <x:c r="I41" s="39"/>
      <x:c r="J41" s="33"/>
      <x:c r="K41" s="33"/>
      <x:c r="L41" s="40"/>
      <x:c r="M41" s="39"/>
      <x:c r="N41" s="33"/>
      <x:c r="O41" s="33"/>
      <x:c r="P41" s="40"/>
      <x:c r="Q41" s="1"/>
    </x:row>
    <x:row r="42" spans="2:17">
      <x:c r="B42" s="36">
        <x:v>37</x:v>
      </x:c>
      <x:c r="C42" s="37" t="s">
        <x:v>67</x:v>
      </x:c>
      <x:c r="D42" s="43"/>
      <x:c r="E42" s="39"/>
      <x:c r="F42" s="33"/>
      <x:c r="G42" s="33"/>
      <x:c r="H42" s="40"/>
      <x:c r="I42" s="39"/>
      <x:c r="J42" s="33"/>
      <x:c r="K42" s="33"/>
      <x:c r="L42" s="40"/>
      <x:c r="M42" s="33"/>
      <x:c r="N42" s="33"/>
      <x:c r="O42" s="33"/>
      <x:c r="P42" s="40"/>
      <x:c r="Q42" s="1"/>
    </x:row>
    <x:row r="43" spans="2:17">
      <x:c r="B43" s="36">
        <x:v>38</x:v>
      </x:c>
      <x:c r="C43" s="37" t="s">
        <x:v>86</x:v>
      </x:c>
      <x:c r="D43" s="54"/>
      <x:c r="E43" s="39"/>
      <x:c r="F43" s="44">
        <x:v>3</x:v>
      </x:c>
      <x:c r="G43" s="33"/>
      <x:c r="H43" s="40"/>
      <x:c r="I43" s="39"/>
      <x:c r="J43" s="52"/>
      <x:c r="K43" s="33"/>
      <x:c r="L43" s="40"/>
      <x:c r="M43" s="39"/>
      <x:c r="N43" s="33"/>
      <x:c r="O43" s="33"/>
      <x:c r="P43" s="40"/>
      <x:c r="Q43" s="1"/>
    </x:row>
    <x:row r="44" spans="2:17">
      <x:c r="B44" s="36">
        <x:v>39</x:v>
      </x:c>
      <x:c r="C44" s="45" t="s">
        <x:v>49</x:v>
      </x:c>
      <x:c r="D44" s="55"/>
      <x:c r="E44" s="50"/>
      <x:c r="F44" s="48"/>
      <x:c r="G44" s="48"/>
      <x:c r="H44" s="49"/>
      <x:c r="I44" s="50"/>
      <x:c r="J44" s="48"/>
      <x:c r="K44" s="48"/>
      <x:c r="L44" s="49"/>
      <x:c r="M44" s="50"/>
      <x:c r="N44" s="48"/>
      <x:c r="O44" s="48"/>
      <x:c r="P44" s="49"/>
      <x:c r="Q44" s="1"/>
    </x:row>
    <x:row r="45" spans="2:17">
      <x:c r="B45" s="36">
        <x:v>40</x:v>
      </x:c>
      <x:c r="C45" s="45" t="s">
        <x:v>12</x:v>
      </x:c>
      <x:c r="D45" s="55"/>
      <x:c r="E45" s="50"/>
      <x:c r="F45" s="48"/>
      <x:c r="G45" s="48"/>
      <x:c r="H45" s="49"/>
      <x:c r="I45" s="50"/>
      <x:c r="J45" s="48"/>
      <x:c r="K45" s="48"/>
      <x:c r="L45" s="49"/>
      <x:c r="M45" s="50"/>
      <x:c r="N45" s="48"/>
      <x:c r="O45" s="48"/>
      <x:c r="P45" s="49"/>
      <x:c r="Q45" s="1"/>
    </x:row>
    <x:row r="46" spans="2:17">
      <x:c r="B46" s="36">
        <x:v>41</x:v>
      </x:c>
      <x:c r="C46" s="37" t="s">
        <x:v>15</x:v>
      </x:c>
      <x:c r="D46" s="43"/>
      <x:c r="E46" s="39"/>
      <x:c r="F46" s="33"/>
      <x:c r="G46" s="33"/>
      <x:c r="H46" s="40"/>
      <x:c r="I46" s="39"/>
      <x:c r="J46" s="33"/>
      <x:c r="K46" s="33"/>
      <x:c r="L46" s="40"/>
      <x:c r="M46" s="33"/>
      <x:c r="N46" s="39"/>
      <x:c r="O46" s="33"/>
      <x:c r="P46" s="40"/>
      <x:c r="Q46" s="1"/>
    </x:row>
    <x:row r="47" spans="2:17">
      <x:c r="B47" s="36">
        <x:v>42</x:v>
      </x:c>
      <x:c r="C47" s="56"/>
      <x:c r="D47" s="43"/>
      <x:c r="E47" s="39"/>
      <x:c r="F47" s="33"/>
      <x:c r="G47" s="33"/>
      <x:c r="H47" s="40"/>
      <x:c r="I47" s="39"/>
      <x:c r="J47" s="33"/>
      <x:c r="K47" s="33"/>
      <x:c r="L47" s="40"/>
      <x:c r="M47" s="39"/>
      <x:c r="N47" s="33"/>
      <x:c r="O47" s="33"/>
      <x:c r="P47" s="40"/>
      <x:c r="Q47" s="1"/>
    </x:row>
    <x:row r="48" spans="2:17">
      <x:c r="B48" s="36">
        <x:v>43</x:v>
      </x:c>
      <x:c r="C48" s="56"/>
      <x:c r="D48" s="43"/>
      <x:c r="E48" s="39"/>
      <x:c r="F48" s="33"/>
      <x:c r="G48" s="33"/>
      <x:c r="H48" s="40"/>
      <x:c r="I48" s="39"/>
      <x:c r="J48" s="33"/>
      <x:c r="K48" s="33"/>
      <x:c r="L48" s="40"/>
      <x:c r="M48" s="39"/>
      <x:c r="N48" s="33"/>
      <x:c r="O48" s="33"/>
      <x:c r="P48" s="40"/>
      <x:c r="Q48" s="1"/>
    </x:row>
    <x:row r="49" spans="2:17">
      <x:c r="B49" s="36">
        <x:v>44</x:v>
      </x:c>
      <x:c r="C49" s="56"/>
      <x:c r="D49" s="43"/>
      <x:c r="E49" s="39"/>
      <x:c r="F49" s="33"/>
      <x:c r="G49" s="33"/>
      <x:c r="H49" s="40"/>
      <x:c r="I49" s="39"/>
      <x:c r="J49" s="33"/>
      <x:c r="K49" s="33"/>
      <x:c r="L49" s="40"/>
      <x:c r="M49" s="39"/>
      <x:c r="N49" s="33"/>
      <x:c r="O49" s="33"/>
      <x:c r="P49" s="40"/>
      <x:c r="Q49" s="1"/>
    </x:row>
    <x:row r="50" spans="2:17">
      <x:c r="B50" s="57">
        <x:v>45</x:v>
      </x:c>
      <x:c r="C50" s="58"/>
      <x:c r="D50" s="59"/>
      <x:c r="E50" s="60"/>
      <x:c r="F50" s="61"/>
      <x:c r="G50" s="61"/>
      <x:c r="H50" s="62"/>
      <x:c r="I50" s="60"/>
      <x:c r="J50" s="61"/>
      <x:c r="K50" s="61"/>
      <x:c r="L50" s="62"/>
      <x:c r="M50" s="60"/>
      <x:c r="N50" s="61"/>
      <x:c r="O50" s="61"/>
      <x:c r="P50" s="62"/>
      <x:c r="Q50" s="1"/>
    </x:row>
    <x:row r="51" spans="2:17">
      <x:c r="B51" s="184" t="s">
        <x:v>55</x:v>
      </x:c>
      <x:c r="C51" s="185"/>
      <x:c r="D51" s="186"/>
      <x:c r="E51" s="63">
        <x:f t="shared" ref="E51:P51" si="0">SUM(E6:E50)</x:f>
        <x:v>32</x:v>
      </x:c>
      <x:c r="F51" s="64">
        <x:f t="shared" si="0"/>
        <x:v>342</x:v>
      </x:c>
      <x:c r="G51" s="64">
        <x:f t="shared" si="0"/>
        <x:v>0</x:v>
      </x:c>
      <x:c r="H51" s="65">
        <x:f t="shared" si="0"/>
        <x:v>1</x:v>
      </x:c>
      <x:c r="I51" s="63">
        <x:f t="shared" si="0"/>
        <x:v>35</x:v>
      </x:c>
      <x:c r="J51" s="64">
        <x:f t="shared" si="0"/>
        <x:v>345</x:v>
      </x:c>
      <x:c r="K51" s="64">
        <x:f t="shared" si="0"/>
        <x:v>0</x:v>
      </x:c>
      <x:c r="L51" s="65">
        <x:f t="shared" si="0"/>
        <x:v>0</x:v>
      </x:c>
      <x:c r="M51" s="63">
        <x:f>SUM(M6:M50)</x:f>
        <x:v>11</x:v>
      </x:c>
      <x:c r="N51" s="64">
        <x:f t="shared" si="0"/>
        <x:v>43</x:v>
      </x:c>
      <x:c r="O51" s="64">
        <x:f t="shared" si="0"/>
        <x:v>0</x:v>
      </x:c>
      <x:c r="P51" s="65">
        <x:f t="shared" si="0"/>
        <x:v>0</x:v>
      </x:c>
      <x:c r="Q51" s="1"/>
    </x:row>
    <x:row r="52" spans="2:17">
      <x:c r="B52" s="187" t="s">
        <x:v>84</x:v>
      </x:c>
      <x:c r="C52" s="188"/>
      <x:c r="D52" s="189"/>
      <x:c r="E52" s="66">
        <x:f>E51*400000</x:f>
        <x:v>12800000</x:v>
      </x:c>
      <x:c r="F52" s="67">
        <x:f>F51*400000</x:f>
        <x:v>136800000</x:v>
      </x:c>
      <x:c r="G52" s="67">
        <x:f t="shared" ref="G52:P52" si="1">G51*400000</x:f>
        <x:v>0</x:v>
      </x:c>
      <x:c r="H52" s="68">
        <x:f t="shared" si="1"/>
        <x:v>400000</x:v>
      </x:c>
      <x:c r="I52" s="66">
        <x:f t="shared" si="1"/>
        <x:v>14000000</x:v>
      </x:c>
      <x:c r="J52" s="67">
        <x:f t="shared" si="1"/>
        <x:v>138000000</x:v>
      </x:c>
      <x:c r="K52" s="67">
        <x:f t="shared" si="1"/>
        <x:v>0</x:v>
      </x:c>
      <x:c r="L52" s="68">
        <x:f t="shared" si="1"/>
        <x:v>0</x:v>
      </x:c>
      <x:c r="M52" s="66">
        <x:f t="shared" si="1"/>
        <x:v>4400000</x:v>
      </x:c>
      <x:c r="N52" s="67">
        <x:f t="shared" si="1"/>
        <x:v>17200000</x:v>
      </x:c>
      <x:c r="O52" s="67">
        <x:f t="shared" si="1"/>
        <x:v>0</x:v>
      </x:c>
      <x:c r="P52" s="68">
        <x:f t="shared" si="1"/>
        <x:v>0</x:v>
      </x:c>
      <x:c r="Q52" s="1"/>
    </x:row>
    <x:row r="53" spans="2:17">
      <x:c r="B53" s="187" t="s">
        <x:v>89</x:v>
      </x:c>
      <x:c r="C53" s="188"/>
      <x:c r="D53" s="189"/>
      <x:c r="E53" s="66"/>
      <x:c r="F53" s="67"/>
      <x:c r="G53" s="67"/>
      <x:c r="H53" s="68"/>
      <x:c r="I53" s="66"/>
      <x:c r="J53" s="67"/>
      <x:c r="K53" s="67"/>
      <x:c r="L53" s="68"/>
      <x:c r="M53" s="66"/>
      <x:c r="N53" s="67"/>
      <x:c r="O53" s="67"/>
      <x:c r="P53" s="68"/>
      <x:c r="Q53" s="1"/>
    </x:row>
    <x:row r="54" spans="2:17">
      <x:c r="B54" s="190" t="s">
        <x:v>79</x:v>
      </x:c>
      <x:c r="C54" s="191"/>
      <x:c r="D54" s="192"/>
      <x:c r="E54" s="69"/>
      <x:c r="F54" s="70"/>
      <x:c r="G54" s="70"/>
      <x:c r="H54" s="71"/>
      <x:c r="I54" s="69"/>
      <x:c r="J54" s="70"/>
      <x:c r="K54" s="70"/>
      <x:c r="L54" s="71"/>
      <x:c r="M54" s="69"/>
      <x:c r="N54" s="70">
        <x:f>0*N51</x:f>
        <x:v>0</x:v>
      </x:c>
      <x:c r="O54" s="70"/>
      <x:c r="P54" s="71">
        <x:f>0*P51</x:f>
        <x:v>0</x:v>
      </x:c>
      <x:c r="Q54" s="1"/>
    </x:row>
    <x:row r="55" spans="2:17">
      <x:c r="B55" s="72"/>
      <x:c r="C55" s="72"/>
      <x:c r="D55" s="72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1"/>
    </x:row>
    <x:row r="56" spans="2:17" ht="18">
      <x:c r="B56" s="193" t="s">
        <x:v>78</x:v>
      </x:c>
      <x:c r="C56" s="194"/>
      <x:c r="D56" s="195"/>
      <x:c r="E56" s="202" t="s">
        <x:v>71</x:v>
      </x:c>
      <x:c r="F56" s="203"/>
      <x:c r="G56" s="203"/>
      <x:c r="H56" s="204"/>
      <x:c r="I56" s="202" t="s">
        <x:v>88</x:v>
      </x:c>
      <x:c r="J56" s="203"/>
      <x:c r="K56" s="203"/>
      <x:c r="L56" s="204"/>
      <x:c r="M56" s="202" t="s">
        <x:v>69</x:v>
      </x:c>
      <x:c r="N56" s="203"/>
      <x:c r="O56" s="203"/>
      <x:c r="P56" s="204"/>
      <x:c r="Q56" s="1"/>
    </x:row>
    <x:row r="57" spans="2:17">
      <x:c r="B57" s="196"/>
      <x:c r="C57" s="197"/>
      <x:c r="D57" s="198"/>
      <x:c r="E57" s="74" t="s">
        <x:v>74</x:v>
      </x:c>
      <x:c r="F57" s="205">
        <x:f>E51+G51</x:f>
        <x:v>32</x:v>
      </x:c>
      <x:c r="G57" s="206"/>
      <x:c r="H57" s="75" t="s">
        <x:v>56</x:v>
      </x:c>
      <x:c r="I57" s="74" t="s">
        <x:v>74</x:v>
      </x:c>
      <x:c r="J57" s="205">
        <x:f>I51+K51</x:f>
        <x:v>35</x:v>
      </x:c>
      <x:c r="K57" s="206"/>
      <x:c r="L57" s="75" t="s">
        <x:v>56</x:v>
      </x:c>
      <x:c r="M57" s="74" t="s">
        <x:v>74</x:v>
      </x:c>
      <x:c r="N57" s="205">
        <x:f>M51+O51</x:f>
        <x:v>11</x:v>
      </x:c>
      <x:c r="O57" s="206"/>
      <x:c r="P57" s="75" t="s">
        <x:v>56</x:v>
      </x:c>
      <x:c r="Q57" s="1"/>
    </x:row>
    <x:row r="58" spans="2:17">
      <x:c r="B58" s="196"/>
      <x:c r="C58" s="197"/>
      <x:c r="D58" s="198"/>
      <x:c r="E58" s="76" t="s">
        <x:v>42</x:v>
      </x:c>
      <x:c r="F58" s="207">
        <x:f>F51+H51</x:f>
        <x:v>343</x:v>
      </x:c>
      <x:c r="G58" s="208"/>
      <x:c r="H58" s="77">
        <x:f>F57+F58</x:f>
        <x:v>375</x:v>
      </x:c>
      <x:c r="I58" s="76" t="s">
        <x:v>42</x:v>
      </x:c>
      <x:c r="J58" s="207">
        <x:f>J51+L51</x:f>
        <x:v>345</x:v>
      </x:c>
      <x:c r="K58" s="208"/>
      <x:c r="L58" s="77">
        <x:f>J57+J58</x:f>
        <x:v>380</x:v>
      </x:c>
      <x:c r="M58" s="76" t="s">
        <x:v>42</x:v>
      </x:c>
      <x:c r="N58" s="207">
        <x:f>N51+P51</x:f>
        <x:v>43</x:v>
      </x:c>
      <x:c r="O58" s="208"/>
      <x:c r="P58" s="77">
        <x:f>N57+N58</x:f>
        <x:v>54</x:v>
      </x:c>
      <x:c r="Q58" s="1"/>
    </x:row>
    <x:row r="59" spans="2:17">
      <x:c r="B59" s="196"/>
      <x:c r="C59" s="197"/>
      <x:c r="D59" s="198"/>
      <x:c r="E59" s="78" t="s">
        <x:v>72</x:v>
      </x:c>
      <x:c r="F59" s="209">
        <x:f>E52+G52</x:f>
        <x:v>12800000</x:v>
      </x:c>
      <x:c r="G59" s="210"/>
      <x:c r="H59" s="79" t="s">
        <x:v>45</x:v>
      </x:c>
      <x:c r="I59" s="78" t="s">
        <x:v>72</x:v>
      </x:c>
      <x:c r="J59" s="211">
        <x:f>I52+K52</x:f>
        <x:v>14000000</x:v>
      </x:c>
      <x:c r="K59" s="212"/>
      <x:c r="L59" s="79" t="s">
        <x:v>45</x:v>
      </x:c>
      <x:c r="M59" s="78" t="s">
        <x:v>72</x:v>
      </x:c>
      <x:c r="N59" s="211">
        <x:f>M52+O52</x:f>
        <x:v>4400000</x:v>
      </x:c>
      <x:c r="O59" s="212"/>
      <x:c r="P59" s="79" t="s">
        <x:v>45</x:v>
      </x:c>
      <x:c r="Q59" s="1"/>
    </x:row>
    <x:row r="60" spans="2:17">
      <x:c r="B60" s="196"/>
      <x:c r="C60" s="197"/>
      <x:c r="D60" s="198"/>
      <x:c r="E60" s="80" t="s">
        <x:v>66</x:v>
      </x:c>
      <x:c r="F60" s="213">
        <x:f>E53+E54+G53+G54</x:f>
        <x:v>0</x:v>
      </x:c>
      <x:c r="G60" s="214"/>
      <x:c r="H60" s="215">
        <x:f>F59+F60+F61</x:f>
        <x:v>150000000</x:v>
      </x:c>
      <x:c r="I60" s="80" t="s">
        <x:v>66</x:v>
      </x:c>
      <x:c r="J60" s="213">
        <x:f>I53+I54+K53+K54</x:f>
        <x:v>0</x:v>
      </x:c>
      <x:c r="K60" s="214"/>
      <x:c r="L60" s="215">
        <x:f>J59+J60+J61</x:f>
        <x:v>152000000</x:v>
      </x:c>
      <x:c r="M60" s="80" t="s">
        <x:v>66</x:v>
      </x:c>
      <x:c r="N60" s="213">
        <x:f>M53+M54+O53+O54</x:f>
        <x:v>0</x:v>
      </x:c>
      <x:c r="O60" s="214"/>
      <x:c r="P60" s="215">
        <x:f>N59+N60+N61</x:f>
        <x:v>21600000</x:v>
      </x:c>
      <x:c r="Q60" s="1"/>
    </x:row>
    <x:row r="61" spans="2:17">
      <x:c r="B61" s="199"/>
      <x:c r="C61" s="200"/>
      <x:c r="D61" s="201"/>
      <x:c r="E61" s="81" t="s">
        <x:v>70</x:v>
      </x:c>
      <x:c r="F61" s="217">
        <x:f>F52+H52</x:f>
        <x:v>137200000</x:v>
      </x:c>
      <x:c r="G61" s="218"/>
      <x:c r="H61" s="216"/>
      <x:c r="I61" s="81" t="s">
        <x:v>70</x:v>
      </x:c>
      <x:c r="J61" s="217">
        <x:f>J52+L52</x:f>
        <x:v>138000000</x:v>
      </x:c>
      <x:c r="K61" s="218"/>
      <x:c r="L61" s="216"/>
      <x:c r="M61" s="81" t="s">
        <x:v>70</x:v>
      </x:c>
      <x:c r="N61" s="217">
        <x:f>N52+P52</x:f>
        <x:v>17200000</x:v>
      </x:c>
      <x:c r="O61" s="218"/>
      <x:c r="P61" s="216"/>
      <x:c r="Q61" s="1"/>
    </x:row>
  </x:sheetData>
  <x:mergeCells count="32">
    <x:mergeCell ref="B4:B5"/>
    <x:mergeCell ref="C4:C5"/>
    <x:mergeCell ref="D4:D5"/>
    <x:mergeCell ref="E4:H4"/>
    <x:mergeCell ref="I4:L4"/>
    <x:mergeCell ref="M4:P4"/>
    <x:mergeCell ref="B51:D51"/>
    <x:mergeCell ref="B52:D52"/>
    <x:mergeCell ref="B53:D53"/>
    <x:mergeCell ref="B54:D54"/>
    <x:mergeCell ref="B56:D61"/>
    <x:mergeCell ref="E56:H56"/>
    <x:mergeCell ref="I56:L56"/>
    <x:mergeCell ref="M56:P56"/>
    <x:mergeCell ref="F57:G57"/>
    <x:mergeCell ref="J57:K57"/>
    <x:mergeCell ref="N57:O57"/>
    <x:mergeCell ref="F58:G58"/>
    <x:mergeCell ref="J58:K58"/>
    <x:mergeCell ref="N58:O58"/>
    <x:mergeCell ref="F59:G59"/>
    <x:mergeCell ref="J59:K59"/>
    <x:mergeCell ref="N59:O59"/>
    <x:mergeCell ref="F60:G60"/>
    <x:mergeCell ref="H60:H61"/>
    <x:mergeCell ref="J60:K60"/>
    <x:mergeCell ref="L60:L61"/>
    <x:mergeCell ref="N60:O60"/>
    <x:mergeCell ref="P60:P61"/>
    <x:mergeCell ref="F61:G61"/>
    <x:mergeCell ref="J61:K61"/>
    <x:mergeCell ref="N61:O61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K43"/>
  <x:sheetViews>
    <x:sheetView topLeftCell="D7" zoomScaleNormal="100" zoomScaleSheetLayoutView="100" workbookViewId="0">
      <x:selection activeCell="G3" activeCellId="0" sqref="G3:G4"/>
    </x:sheetView>
  </x:sheetViews>
  <x:sheetFormatPr defaultColWidth="8.75" defaultRowHeight="16.39999999999999857891"/>
  <x:cols>
    <x:col min="3" max="3" width="17.875" bestFit="1" customWidth="1"/>
    <x:col min="4" max="4" width="16.625" customWidth="1"/>
    <x:col min="5" max="5" width="16" customWidth="1"/>
    <x:col min="6" max="6" width="16.125" bestFit="1" customWidth="1"/>
    <x:col min="7" max="7" width="15.625" customWidth="1"/>
    <x:col min="8" max="8" width="15.75" customWidth="1"/>
    <x:col min="9" max="9" width="16.125" bestFit="1" customWidth="1"/>
    <x:col min="10" max="10" width="16.5" customWidth="1"/>
    <x:col min="11" max="11" width="13.5" customWidth="1"/>
  </x:cols>
  <x:sheetData>
    <x:row r="2" spans="2:11">
      <x:c r="B2" s="219" t="s">
        <x:v>93</x:v>
      </x:c>
      <x:c r="C2" s="221" t="s">
        <x:v>71</x:v>
      </x:c>
      <x:c r="D2" s="221" t="s">
        <x:v>71</x:v>
      </x:c>
      <x:c r="E2" s="221" t="s">
        <x:v>71</x:v>
      </x:c>
      <x:c r="F2" s="221" t="s">
        <x:v>88</x:v>
      </x:c>
      <x:c r="G2" s="221" t="s">
        <x:v>71</x:v>
      </x:c>
      <x:c r="H2" s="222" t="s">
        <x:v>71</x:v>
      </x:c>
      <x:c r="I2" s="223" t="s">
        <x:v>69</x:v>
      </x:c>
      <x:c r="J2" s="221" t="s">
        <x:v>71</x:v>
      </x:c>
      <x:c r="K2" s="222" t="s">
        <x:v>71</x:v>
      </x:c>
    </x:row>
    <x:row r="3" spans="2:11">
      <x:c r="B3" s="220"/>
      <x:c r="C3" s="224" t="s">
        <x:v>20</x:v>
      </x:c>
      <x:c r="D3" s="226">
        <x:v>32</x:v>
      </x:c>
      <x:c r="E3" s="228" t="s">
        <x:v>56</x:v>
      </x:c>
      <x:c r="F3" s="230" t="s">
        <x:v>4</x:v>
      </x:c>
      <x:c r="G3" s="232">
        <x:v>35</x:v>
      </x:c>
      <x:c r="H3" s="233" t="s">
        <x:v>56</x:v>
      </x:c>
      <x:c r="I3" s="235" t="s">
        <x:v>20</x:v>
      </x:c>
      <x:c r="J3" s="226">
        <x:v>11</x:v>
      </x:c>
      <x:c r="K3" s="237" t="s">
        <x:v>56</x:v>
      </x:c>
    </x:row>
    <x:row r="4" spans="2:11">
      <x:c r="B4" s="220"/>
      <x:c r="C4" s="225"/>
      <x:c r="D4" s="227"/>
      <x:c r="E4" s="229"/>
      <x:c r="F4" s="231"/>
      <x:c r="G4" s="227"/>
      <x:c r="H4" s="234"/>
      <x:c r="I4" s="236"/>
      <x:c r="J4" s="227"/>
      <x:c r="K4" s="234"/>
    </x:row>
    <x:row r="5" spans="2:11">
      <x:c r="B5" s="220"/>
      <x:c r="C5" s="238" t="s">
        <x:v>34</x:v>
      </x:c>
      <x:c r="D5" s="227">
        <x:v>343</x:v>
      </x:c>
      <x:c r="E5" s="239">
        <x:f>D3+D5</x:f>
        <x:v>375</x:v>
      </x:c>
      <x:c r="F5" s="240" t="s">
        <x:v>59</x:v>
      </x:c>
      <x:c r="G5" s="227">
        <x:v>345</x:v>
      </x:c>
      <x:c r="H5" s="241">
        <x:f>G3+G5</x:f>
        <x:v>380</x:v>
      </x:c>
      <x:c r="I5" s="242" t="s">
        <x:v>34</x:v>
      </x:c>
      <x:c r="J5" s="243">
        <x:v>43</x:v>
      </x:c>
      <x:c r="K5" s="244">
        <x:f>J3+J5</x:f>
        <x:v>54</x:v>
      </x:c>
    </x:row>
    <x:row r="6" spans="2:11">
      <x:c r="B6" s="220"/>
      <x:c r="C6" s="225"/>
      <x:c r="D6" s="227"/>
      <x:c r="E6" s="239"/>
      <x:c r="F6" s="231"/>
      <x:c r="G6" s="227"/>
      <x:c r="H6" s="241"/>
      <x:c r="I6" s="236"/>
      <x:c r="J6" s="226"/>
      <x:c r="K6" s="244"/>
    </x:row>
    <x:row r="7" spans="2:11">
      <x:c r="B7" s="220"/>
      <x:c r="C7" s="82" t="s">
        <x:v>72</x:v>
      </x:c>
      <x:c r="D7" s="83">
        <x:f>D3*400000</x:f>
        <x:v>12800000</x:v>
      </x:c>
      <x:c r="E7" s="136" t="s">
        <x:v>58</x:v>
      </x:c>
      <x:c r="F7" s="140" t="s">
        <x:v>72</x:v>
      </x:c>
      <x:c r="G7" s="83">
        <x:f>G3*400000</x:f>
        <x:v>14000000</x:v>
      </x:c>
      <x:c r="H7" s="84" t="s">
        <x:v>45</x:v>
      </x:c>
      <x:c r="I7" s="85" t="s">
        <x:v>72</x:v>
      </x:c>
      <x:c r="J7" s="83">
        <x:f>SUM(J3*400000)</x:f>
        <x:v>4400000</x:v>
      </x:c>
      <x:c r="K7" s="84" t="s">
        <x:v>45</x:v>
      </x:c>
    </x:row>
    <x:row r="8" spans="2:11">
      <x:c r="B8" s="220"/>
      <x:c r="C8" s="82" t="s">
        <x:v>66</x:v>
      </x:c>
      <x:c r="D8" s="154">
        <x:v>2800000</x:v>
      </x:c>
      <x:c r="E8" s="245">
        <x:f>D7+D8+D9</x:f>
        <x:v>152800000</x:v>
      </x:c>
      <x:c r="F8" s="140" t="s">
        <x:v>66</x:v>
      </x:c>
      <x:c r="G8" s="155">
        <x:v>1300000</x:v>
      </x:c>
      <x:c r="H8" s="246">
        <x:f>G7+G8+G9</x:f>
        <x:v>153300000</x:v>
      </x:c>
      <x:c r="I8" s="85" t="s">
        <x:v>66</x:v>
      </x:c>
      <x:c r="J8" s="154"/>
      <x:c r="K8" s="246">
        <x:f>J7+J8+J9</x:f>
        <x:v>21600000</x:v>
      </x:c>
    </x:row>
    <x:row r="9" spans="2:11">
      <x:c r="B9" s="220"/>
      <x:c r="C9" s="82" t="s">
        <x:v>70</x:v>
      </x:c>
      <x:c r="D9" s="83">
        <x:f>D5*400000</x:f>
        <x:v>137200000</x:v>
      </x:c>
      <x:c r="E9" s="245"/>
      <x:c r="F9" s="140" t="s">
        <x:v>70</x:v>
      </x:c>
      <x:c r="G9" s="83">
        <x:f>G5*400000</x:f>
        <x:v>138000000</x:v>
      </x:c>
      <x:c r="H9" s="246"/>
      <x:c r="I9" s="85" t="s">
        <x:v>70</x:v>
      </x:c>
      <x:c r="J9" s="83">
        <x:f>SUM(J5*400000)</x:f>
        <x:v>17200000</x:v>
      </x:c>
      <x:c r="K9" s="246"/>
    </x:row>
    <x:row r="10" spans="2:11">
      <x:c r="B10" s="220" t="s">
        <x:v>95</x:v>
      </x:c>
      <x:c r="C10" s="86" t="s">
        <x:v>33</x:v>
      </x:c>
      <x:c r="D10" s="157">
        <x:v>13358149</x:v>
      </x:c>
      <x:c r="E10" s="137" t="s">
        <x:v>54</x:v>
      </x:c>
      <x:c r="F10" s="135" t="s">
        <x:v>33</x:v>
      </x:c>
      <x:c r="G10" s="83">
        <x:v>12172075</x:v>
      </x:c>
      <x:c r="H10" s="87" t="s">
        <x:v>54</x:v>
      </x:c>
      <x:c r="I10" s="88" t="s">
        <x:v>33</x:v>
      </x:c>
      <x:c r="J10" s="83"/>
      <x:c r="K10" s="87" t="s">
        <x:v>54</x:v>
      </x:c>
    </x:row>
    <x:row r="11" spans="2:11">
      <x:c r="B11" s="220"/>
      <x:c r="C11" s="86" t="s">
        <x:v>36</x:v>
      </x:c>
      <x:c r="D11" s="83">
        <x:v>17645265</x:v>
      </x:c>
      <x:c r="E11" s="245">
        <x:f>SUM(D10:D19)</x:f>
        <x:v>163773250.05000001</x:v>
      </x:c>
      <x:c r="F11" s="135" t="s">
        <x:v>36</x:v>
      </x:c>
      <x:c r="G11" s="83">
        <x:v>23481588</x:v>
      </x:c>
      <x:c r="H11" s="246">
        <x:f>SUM(G10:G19)</x:f>
        <x:v>171793361</x:v>
      </x:c>
      <x:c r="I11" s="88" t="s">
        <x:v>36</x:v>
      </x:c>
      <x:c r="J11" s="83"/>
      <x:c r="K11" s="246">
        <x:f>SUM(J10:J19)</x:f>
        <x:v>24520000</x:v>
      </x:c>
    </x:row>
    <x:row r="12" spans="2:11">
      <x:c r="B12" s="220"/>
      <x:c r="C12" s="86" t="s">
        <x:v>25</x:v>
      </x:c>
      <x:c r="D12" s="83">
        <x:v>39234005</x:v>
      </x:c>
      <x:c r="E12" s="245"/>
      <x:c r="F12" s="135" t="s">
        <x:v>25</x:v>
      </x:c>
      <x:c r="G12" s="83">
        <x:v>68568863</x:v>
      </x:c>
      <x:c r="H12" s="246"/>
      <x:c r="I12" s="88" t="s">
        <x:v>25</x:v>
      </x:c>
      <x:c r="J12" s="83"/>
      <x:c r="K12" s="246"/>
    </x:row>
    <x:row r="13" spans="2:11">
      <x:c r="B13" s="220"/>
      <x:c r="C13" s="86" t="s">
        <x:v>62</x:v>
      </x:c>
      <x:c r="D13" s="83">
        <x:v>13000000</x:v>
      </x:c>
      <x:c r="E13" s="245"/>
      <x:c r="F13" s="135" t="s">
        <x:v>62</x:v>
      </x:c>
      <x:c r="G13" s="83">
        <x:v>13000000</x:v>
      </x:c>
      <x:c r="H13" s="246"/>
      <x:c r="I13" s="88" t="s">
        <x:v>62</x:v>
      </x:c>
      <x:c r="J13" s="83">
        <x:v>13000000</x:v>
      </x:c>
      <x:c r="K13" s="246"/>
    </x:row>
    <x:row r="14" spans="2:11">
      <x:c r="B14" s="220"/>
      <x:c r="C14" s="86" t="s">
        <x:v>97</x:v>
      </x:c>
      <x:c r="D14" s="83">
        <x:v>6500000</x:v>
      </x:c>
      <x:c r="E14" s="245"/>
      <x:c r="F14" s="135" t="s">
        <x:v>97</x:v>
      </x:c>
      <x:c r="G14" s="83">
        <x:v>6500000</x:v>
      </x:c>
      <x:c r="H14" s="246"/>
      <x:c r="I14" s="88" t="s">
        <x:v>97</x:v>
      </x:c>
      <x:c r="J14" s="83">
        <x:v>6500000</x:v>
      </x:c>
      <x:c r="K14" s="246"/>
    </x:row>
    <x:row r="15" spans="2:11">
      <x:c r="B15" s="220"/>
      <x:c r="C15" s="135" t="s">
        <x:v>85</x:v>
      </x:c>
      <x:c r="D15" s="83">
        <x:v>3162895.3700000001</x:v>
      </x:c>
      <x:c r="E15" s="245"/>
      <x:c r="F15" s="135" t="s">
        <x:v>85</x:v>
      </x:c>
      <x:c r="G15" s="83">
        <x:v>2175229</x:v>
      </x:c>
      <x:c r="H15" s="246"/>
      <x:c r="I15" s="135" t="s">
        <x:v>85</x:v>
      </x:c>
      <x:c r="J15" s="83"/>
      <x:c r="K15" s="246"/>
    </x:row>
    <x:row r="16" spans="2:11">
      <x:c r="B16" s="220"/>
      <x:c r="C16" s="135" t="s">
        <x:v>103</x:v>
      </x:c>
      <x:c r="D16" s="83">
        <x:v>7972935.6799999997</x:v>
      </x:c>
      <x:c r="E16" s="245"/>
      <x:c r="F16" s="135" t="s">
        <x:v>103</x:v>
      </x:c>
      <x:c r="G16" s="83">
        <x:v>5906606</x:v>
      </x:c>
      <x:c r="H16" s="246"/>
      <x:c r="I16" s="135" t="s">
        <x:v>103</x:v>
      </x:c>
      <x:c r="J16" s="83"/>
      <x:c r="K16" s="246"/>
    </x:row>
    <x:row r="17" spans="2:11">
      <x:c r="B17" s="220"/>
      <x:c r="C17" s="135" t="s">
        <x:v>57</x:v>
      </x:c>
      <x:c r="D17" s="83">
        <x:v>8000000</x:v>
      </x:c>
      <x:c r="E17" s="245"/>
      <x:c r="F17" s="135" t="s">
        <x:v>57</x:v>
      </x:c>
      <x:c r="G17" s="83">
        <x:v>1200000</x:v>
      </x:c>
      <x:c r="H17" s="246"/>
      <x:c r="I17" s="135" t="s">
        <x:v>57</x:v>
      </x:c>
      <x:c r="J17" s="83"/>
      <x:c r="K17" s="246"/>
    </x:row>
    <x:row r="18" spans="2:11">
      <x:c r="B18" s="220"/>
      <x:c r="C18" s="153" t="s">
        <x:v>75</x:v>
      </x:c>
      <x:c r="D18" s="83">
        <x:v>34700000</x:v>
      </x:c>
      <x:c r="E18" s="245"/>
      <x:c r="F18" s="153" t="s">
        <x:v>75</x:v>
      </x:c>
      <x:c r="G18" s="83">
        <x:v>17789000</x:v>
      </x:c>
      <x:c r="H18" s="246"/>
      <x:c r="I18" s="153" t="s">
        <x:v>75</x:v>
      </x:c>
      <x:c r="J18" s="83">
        <x:v>5020000</x:v>
      </x:c>
      <x:c r="K18" s="246"/>
    </x:row>
    <x:row r="19" spans="2:11">
      <x:c r="B19" s="220"/>
      <x:c r="C19" s="135" t="s">
        <x:v>87</x:v>
      </x:c>
      <x:c r="D19" s="83">
        <x:v>20200000</x:v>
      </x:c>
      <x:c r="E19" s="245"/>
      <x:c r="F19" s="135" t="s">
        <x:v>87</x:v>
      </x:c>
      <x:c r="G19" s="83">
        <x:v>21000000</x:v>
      </x:c>
      <x:c r="H19" s="246"/>
      <x:c r="I19" s="135" t="s">
        <x:v>87</x:v>
      </x:c>
      <x:c r="J19" s="83"/>
      <x:c r="K19" s="246"/>
    </x:row>
    <x:row r="20" spans="2:11">
      <x:c r="B20" s="247" t="s">
        <x:v>17</x:v>
      </x:c>
      <x:c r="C20" s="249" t="s">
        <x:v>61</x:v>
      </x:c>
      <x:c r="D20" s="251">
        <x:v>4365512.1699999999</x:v>
      </x:c>
      <x:c r="E20" s="138" t="s">
        <x:v>35</x:v>
      </x:c>
      <x:c r="F20" s="253" t="s">
        <x:v>61</x:v>
      </x:c>
      <x:c r="G20" s="251">
        <x:v>18855295.969999999</x:v>
      </x:c>
      <x:c r="H20" s="89" t="s">
        <x:v>35</x:v>
      </x:c>
      <x:c r="I20" s="255" t="s">
        <x:v>61</x:v>
      </x:c>
      <x:c r="J20" s="257"/>
      <x:c r="K20" s="89" t="s">
        <x:v>35</x:v>
      </x:c>
    </x:row>
    <x:row r="21" spans="2:11">
      <x:c r="B21" s="248"/>
      <x:c r="C21" s="250"/>
      <x:c r="D21" s="252"/>
      <x:c r="E21" s="139">
        <x:v>0</x:v>
      </x:c>
      <x:c r="F21" s="254"/>
      <x:c r="G21" s="252"/>
      <x:c r="H21" s="90"/>
      <x:c r="I21" s="256"/>
      <x:c r="J21" s="258"/>
      <x:c r="K21" s="90">
        <x:v>0</x:v>
      </x:c>
    </x:row>
    <x:row r="22" spans="2:11">
      <x:c r="B22" s="91"/>
      <x:c r="C22" s="91"/>
      <x:c r="D22" s="158" t="s">
        <x:v>101</x:v>
      </x:c>
      <x:c r="E22" s="159">
        <x:f>E30-E8</x:f>
        <x:v>3600000</x:v>
      </x:c>
      <x:c r="F22" s="91"/>
      <x:c r="G22" s="158" t="s">
        <x:v>101</x:v>
      </x:c>
      <x:c r="H22" s="159">
        <x:f>SUM(H30-H8)</x:f>
        <x:v>12800000</x:v>
      </x:c>
      <x:c r="I22" s="91"/>
      <x:c r="J22" s="158" t="s">
        <x:v>101</x:v>
      </x:c>
      <x:c r="K22" s="159">
        <x:f>SUM(K30-K8)</x:f>
        <x:v>148400000</x:v>
      </x:c>
    </x:row>
    <x:row r="23" spans="2:11"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spans="2:11">
      <x:c r="B24" s="219" t="s">
        <x:v>93</x:v>
      </x:c>
      <x:c r="C24" s="221" t="s">
        <x:v>71</x:v>
      </x:c>
      <x:c r="D24" s="221" t="s">
        <x:v>71</x:v>
      </x:c>
      <x:c r="E24" s="259" t="s">
        <x:v>71</x:v>
      </x:c>
      <x:c r="F24" s="223" t="s">
        <x:v>88</x:v>
      </x:c>
      <x:c r="G24" s="221" t="s">
        <x:v>71</x:v>
      </x:c>
      <x:c r="H24" s="222" t="s">
        <x:v>71</x:v>
      </x:c>
      <x:c r="I24" s="223" t="s">
        <x:v>69</x:v>
      </x:c>
      <x:c r="J24" s="221" t="s">
        <x:v>71</x:v>
      </x:c>
      <x:c r="K24" s="222" t="s">
        <x:v>71</x:v>
      </x:c>
    </x:row>
    <x:row r="25" spans="2:11">
      <x:c r="B25" s="220"/>
      <x:c r="C25" s="224" t="s">
        <x:v>20</x:v>
      </x:c>
      <x:c r="D25" s="260">
        <x:v>84</x:v>
      </x:c>
      <x:c r="E25" s="228" t="s">
        <x:v>56</x:v>
      </x:c>
      <x:c r="F25" s="262" t="s">
        <x:v>4</x:v>
      </x:c>
      <x:c r="G25" s="226">
        <x:v>12</x:v>
      </x:c>
      <x:c r="H25" s="237" t="s">
        <x:v>56</x:v>
      </x:c>
      <x:c r="I25" s="235" t="s">
        <x:v>20</x:v>
      </x:c>
      <x:c r="J25" s="226">
        <x:v>25</x:v>
      </x:c>
      <x:c r="K25" s="237" t="s">
        <x:v>56</x:v>
      </x:c>
    </x:row>
    <x:row r="26" spans="2:11">
      <x:c r="B26" s="220"/>
      <x:c r="C26" s="225"/>
      <x:c r="D26" s="261"/>
      <x:c r="E26" s="229"/>
      <x:c r="F26" s="231"/>
      <x:c r="G26" s="227"/>
      <x:c r="H26" s="234"/>
      <x:c r="I26" s="236"/>
      <x:c r="J26" s="227"/>
      <x:c r="K26" s="234"/>
    </x:row>
    <x:row r="27" spans="2:11">
      <x:c r="B27" s="220"/>
      <x:c r="C27" s="238" t="s">
        <x:v>34</x:v>
      </x:c>
      <x:c r="D27" s="227">
        <x:v>300</x:v>
      </x:c>
      <x:c r="E27" s="239">
        <x:f>D25+D27</x:f>
        <x:v>384</x:v>
      </x:c>
      <x:c r="F27" s="240" t="s">
        <x:v>59</x:v>
      </x:c>
      <x:c r="G27" s="227">
        <x:v>400</x:v>
      </x:c>
      <x:c r="H27" s="241">
        <x:f>G25+G27</x:f>
        <x:v>412</x:v>
      </x:c>
      <x:c r="I27" s="242" t="s">
        <x:v>34</x:v>
      </x:c>
      <x:c r="J27" s="243">
        <x:v>400</x:v>
      </x:c>
      <x:c r="K27" s="244">
        <x:f>J25+J27</x:f>
        <x:v>425</x:v>
      </x:c>
    </x:row>
    <x:row r="28" spans="2:11">
      <x:c r="B28" s="220"/>
      <x:c r="C28" s="225"/>
      <x:c r="D28" s="227"/>
      <x:c r="E28" s="239"/>
      <x:c r="F28" s="231"/>
      <x:c r="G28" s="227"/>
      <x:c r="H28" s="241"/>
      <x:c r="I28" s="236"/>
      <x:c r="J28" s="226"/>
      <x:c r="K28" s="244"/>
    </x:row>
    <x:row r="29" spans="2:11">
      <x:c r="B29" s="220"/>
      <x:c r="C29" s="82" t="s">
        <x:v>72</x:v>
      </x:c>
      <x:c r="D29" s="83">
        <x:f>D25*400000</x:f>
        <x:v>33600000</x:v>
      </x:c>
      <x:c r="E29" s="136" t="s">
        <x:v>58</x:v>
      </x:c>
      <x:c r="F29" s="140" t="s">
        <x:v>72</x:v>
      </x:c>
      <x:c r="G29" s="83">
        <x:f>G25*400000</x:f>
        <x:v>4800000</x:v>
      </x:c>
      <x:c r="H29" s="84" t="s">
        <x:v>45</x:v>
      </x:c>
      <x:c r="I29" s="85" t="s">
        <x:v>72</x:v>
      </x:c>
      <x:c r="J29" s="83">
        <x:f>SUM(J25*400000)</x:f>
        <x:v>10000000</x:v>
      </x:c>
      <x:c r="K29" s="84" t="s">
        <x:v>45</x:v>
      </x:c>
    </x:row>
    <x:row r="30" spans="2:11">
      <x:c r="B30" s="220"/>
      <x:c r="C30" s="82" t="s">
        <x:v>66</x:v>
      </x:c>
      <x:c r="D30" s="154">
        <x:v>2800000</x:v>
      </x:c>
      <x:c r="E30" s="245">
        <x:f>D29+D30+D31</x:f>
        <x:v>156400000</x:v>
      </x:c>
      <x:c r="F30" s="140" t="s">
        <x:v>66</x:v>
      </x:c>
      <x:c r="G30" s="155">
        <x:v>1300000</x:v>
      </x:c>
      <x:c r="H30" s="246">
        <x:f>G29+G30+G31</x:f>
        <x:v>166100000</x:v>
      </x:c>
      <x:c r="I30" s="85" t="s">
        <x:v>66</x:v>
      </x:c>
      <x:c r="J30" s="154"/>
      <x:c r="K30" s="246">
        <x:f>J29+J30+J31</x:f>
        <x:v>170000000</x:v>
      </x:c>
    </x:row>
    <x:row r="31" spans="2:11">
      <x:c r="B31" s="220"/>
      <x:c r="C31" s="82" t="s">
        <x:v>70</x:v>
      </x:c>
      <x:c r="D31" s="83">
        <x:f>D27*400000</x:f>
        <x:v>120000000</x:v>
      </x:c>
      <x:c r="E31" s="245"/>
      <x:c r="F31" s="140" t="s">
        <x:v>70</x:v>
      </x:c>
      <x:c r="G31" s="83">
        <x:f>G27*400000</x:f>
        <x:v>160000000</x:v>
      </x:c>
      <x:c r="H31" s="246"/>
      <x:c r="I31" s="85" t="s">
        <x:v>70</x:v>
      </x:c>
      <x:c r="J31" s="83">
        <x:f>SUM(J27*400000)</x:f>
        <x:v>160000000</x:v>
      </x:c>
      <x:c r="K31" s="246"/>
    </x:row>
    <x:row r="32" spans="2:11">
      <x:c r="B32" s="220" t="s">
        <x:v>95</x:v>
      </x:c>
      <x:c r="C32" s="86" t="s">
        <x:v>33</x:v>
      </x:c>
      <x:c r="D32" s="156">
        <x:v>13358149</x:v>
      </x:c>
      <x:c r="E32" s="137" t="s">
        <x:v>54</x:v>
      </x:c>
      <x:c r="F32" s="135" t="s">
        <x:v>33</x:v>
      </x:c>
      <x:c r="G32" s="83">
        <x:v>12172075</x:v>
      </x:c>
      <x:c r="H32" s="87" t="s">
        <x:v>54</x:v>
      </x:c>
      <x:c r="I32" s="88" t="s">
        <x:v>33</x:v>
      </x:c>
      <x:c r="J32" s="83"/>
      <x:c r="K32" s="87" t="s">
        <x:v>54</x:v>
      </x:c>
    </x:row>
    <x:row r="33" spans="2:11">
      <x:c r="B33" s="220"/>
      <x:c r="C33" s="86" t="s">
        <x:v>36</x:v>
      </x:c>
      <x:c r="D33" s="83">
        <x:v>17645265</x:v>
      </x:c>
      <x:c r="E33" s="245">
        <x:f>SUM(D32:D41)</x:f>
        <x:v>163773250.05000001</x:v>
      </x:c>
      <x:c r="F33" s="135" t="s">
        <x:v>36</x:v>
      </x:c>
      <x:c r="G33" s="83">
        <x:v>23481588</x:v>
      </x:c>
      <x:c r="H33" s="246">
        <x:f>SUM(G32:G41)</x:f>
        <x:v>171793361</x:v>
      </x:c>
      <x:c r="I33" s="88" t="s">
        <x:v>36</x:v>
      </x:c>
      <x:c r="J33" s="83"/>
      <x:c r="K33" s="246">
        <x:f>SUM(J32:J41)</x:f>
        <x:v>24520000</x:v>
      </x:c>
    </x:row>
    <x:row r="34" spans="2:11">
      <x:c r="B34" s="220"/>
      <x:c r="C34" s="86" t="s">
        <x:v>25</x:v>
      </x:c>
      <x:c r="D34" s="83">
        <x:v>39234005</x:v>
      </x:c>
      <x:c r="E34" s="245"/>
      <x:c r="F34" s="135" t="s">
        <x:v>25</x:v>
      </x:c>
      <x:c r="G34" s="83">
        <x:v>68568863</x:v>
      </x:c>
      <x:c r="H34" s="246"/>
      <x:c r="I34" s="88" t="s">
        <x:v>25</x:v>
      </x:c>
      <x:c r="J34" s="83"/>
      <x:c r="K34" s="246"/>
    </x:row>
    <x:row r="35" spans="2:11">
      <x:c r="B35" s="220"/>
      <x:c r="C35" s="86" t="s">
        <x:v>62</x:v>
      </x:c>
      <x:c r="D35" s="83">
        <x:v>13000000</x:v>
      </x:c>
      <x:c r="E35" s="245"/>
      <x:c r="F35" s="135" t="s">
        <x:v>62</x:v>
      </x:c>
      <x:c r="G35" s="83">
        <x:v>13000000</x:v>
      </x:c>
      <x:c r="H35" s="246"/>
      <x:c r="I35" s="88" t="s">
        <x:v>62</x:v>
      </x:c>
      <x:c r="J35" s="83">
        <x:v>13000000</x:v>
      </x:c>
      <x:c r="K35" s="246"/>
    </x:row>
    <x:row r="36" spans="2:11">
      <x:c r="B36" s="220"/>
      <x:c r="C36" s="86" t="s">
        <x:v>97</x:v>
      </x:c>
      <x:c r="D36" s="83">
        <x:v>6500000</x:v>
      </x:c>
      <x:c r="E36" s="245"/>
      <x:c r="F36" s="135" t="s">
        <x:v>97</x:v>
      </x:c>
      <x:c r="G36" s="83">
        <x:v>6500000</x:v>
      </x:c>
      <x:c r="H36" s="246"/>
      <x:c r="I36" s="88" t="s">
        <x:v>97</x:v>
      </x:c>
      <x:c r="J36" s="83">
        <x:v>6500000</x:v>
      </x:c>
      <x:c r="K36" s="246"/>
    </x:row>
    <x:row r="37" spans="2:11">
      <x:c r="B37" s="220"/>
      <x:c r="C37" s="135" t="s">
        <x:v>85</x:v>
      </x:c>
      <x:c r="D37" s="83">
        <x:v>3162895.3700000001</x:v>
      </x:c>
      <x:c r="E37" s="245"/>
      <x:c r="F37" s="135" t="s">
        <x:v>85</x:v>
      </x:c>
      <x:c r="G37" s="83">
        <x:v>2175229</x:v>
      </x:c>
      <x:c r="H37" s="246"/>
      <x:c r="I37" s="135" t="s">
        <x:v>85</x:v>
      </x:c>
      <x:c r="J37" s="83"/>
      <x:c r="K37" s="246"/>
    </x:row>
    <x:row r="38" spans="2:11">
      <x:c r="B38" s="220"/>
      <x:c r="C38" s="135" t="s">
        <x:v>103</x:v>
      </x:c>
      <x:c r="D38" s="83">
        <x:v>7972935.6799999997</x:v>
      </x:c>
      <x:c r="E38" s="245"/>
      <x:c r="F38" s="135" t="s">
        <x:v>103</x:v>
      </x:c>
      <x:c r="G38" s="83">
        <x:v>5906606</x:v>
      </x:c>
      <x:c r="H38" s="246"/>
      <x:c r="I38" s="135" t="s">
        <x:v>103</x:v>
      </x:c>
      <x:c r="J38" s="83"/>
      <x:c r="K38" s="246"/>
    </x:row>
    <x:row r="39" spans="2:11">
      <x:c r="B39" s="220"/>
      <x:c r="C39" s="135" t="s">
        <x:v>57</x:v>
      </x:c>
      <x:c r="D39" s="83">
        <x:v>8000000</x:v>
      </x:c>
      <x:c r="E39" s="245"/>
      <x:c r="F39" s="135" t="s">
        <x:v>57</x:v>
      </x:c>
      <x:c r="G39" s="83">
        <x:v>1200000</x:v>
      </x:c>
      <x:c r="H39" s="246"/>
      <x:c r="I39" s="135" t="s">
        <x:v>57</x:v>
      </x:c>
      <x:c r="J39" s="83"/>
      <x:c r="K39" s="246"/>
    </x:row>
    <x:row r="40" spans="2:11">
      <x:c r="B40" s="220"/>
      <x:c r="C40" s="135" t="s">
        <x:v>80</x:v>
      </x:c>
      <x:c r="D40" s="83">
        <x:v>34700000</x:v>
      </x:c>
      <x:c r="E40" s="245"/>
      <x:c r="F40" s="153" t="s">
        <x:v>75</x:v>
      </x:c>
      <x:c r="G40" s="83">
        <x:v>17789000</x:v>
      </x:c>
      <x:c r="H40" s="246"/>
      <x:c r="I40" s="153" t="s">
        <x:v>75</x:v>
      </x:c>
      <x:c r="J40" s="83">
        <x:v>5020000</x:v>
      </x:c>
      <x:c r="K40" s="246"/>
    </x:row>
    <x:row r="41" spans="2:11">
      <x:c r="B41" s="220"/>
      <x:c r="C41" s="135" t="s">
        <x:v>87</x:v>
      </x:c>
      <x:c r="D41" s="83">
        <x:v>20200000</x:v>
      </x:c>
      <x:c r="E41" s="245"/>
      <x:c r="F41" s="135" t="s">
        <x:v>87</x:v>
      </x:c>
      <x:c r="G41" s="83">
        <x:v>21000000</x:v>
      </x:c>
      <x:c r="H41" s="246"/>
      <x:c r="I41" s="135" t="s">
        <x:v>87</x:v>
      </x:c>
      <x:c r="J41" s="83"/>
      <x:c r="K41" s="246"/>
    </x:row>
    <x:row r="42" spans="2:11">
      <x:c r="B42" s="247" t="s">
        <x:v>17</x:v>
      </x:c>
      <x:c r="C42" s="249" t="s">
        <x:v>61</x:v>
      </x:c>
      <x:c r="D42" s="251">
        <x:v>4365512.1699999999</x:v>
      </x:c>
      <x:c r="E42" s="138" t="s">
        <x:v>35</x:v>
      </x:c>
      <x:c r="F42" s="253" t="s">
        <x:v>61</x:v>
      </x:c>
      <x:c r="G42" s="251">
        <x:v>18855295.969999999</x:v>
      </x:c>
      <x:c r="H42" s="89" t="s">
        <x:v>35</x:v>
      </x:c>
      <x:c r="I42" s="255" t="s">
        <x:v>61</x:v>
      </x:c>
      <x:c r="J42" s="257"/>
      <x:c r="K42" s="89" t="s">
        <x:v>35</x:v>
      </x:c>
    </x:row>
    <x:row r="43" spans="2:11">
      <x:c r="B43" s="248"/>
      <x:c r="C43" s="250"/>
      <x:c r="D43" s="252"/>
      <x:c r="E43" s="139">
        <x:v>0</x:v>
      </x:c>
      <x:c r="F43" s="254"/>
      <x:c r="G43" s="252"/>
      <x:c r="H43" s="90"/>
      <x:c r="I43" s="256"/>
      <x:c r="J43" s="258"/>
      <x:c r="K43" s="90">
        <x:v>0</x:v>
      </x:c>
    </x:row>
  </x:sheetData>
  <x:mergeCells count="72">
    <x:mergeCell ref="B2:B9"/>
    <x:mergeCell ref="C2:E2"/>
    <x:mergeCell ref="F2:H2"/>
    <x:mergeCell ref="I2:K2"/>
    <x:mergeCell ref="C3:C4"/>
    <x:mergeCell ref="D3:D4"/>
    <x:mergeCell ref="E3:E4"/>
    <x:mergeCell ref="F3:F4"/>
    <x:mergeCell ref="G3:G4"/>
    <x:mergeCell ref="H3:H4"/>
    <x:mergeCell ref="I3:I4"/>
    <x:mergeCell ref="J3:J4"/>
    <x:mergeCell ref="K3:K4"/>
    <x:mergeCell ref="C5:C6"/>
    <x:mergeCell ref="D5:D6"/>
    <x:mergeCell ref="E5:E6"/>
    <x:mergeCell ref="F5:F6"/>
    <x:mergeCell ref="G5:G6"/>
    <x:mergeCell ref="H5:H6"/>
    <x:mergeCell ref="I5:I6"/>
    <x:mergeCell ref="J5:J6"/>
    <x:mergeCell ref="K5:K6"/>
    <x:mergeCell ref="E8:E9"/>
    <x:mergeCell ref="H8:H9"/>
    <x:mergeCell ref="K8:K9"/>
    <x:mergeCell ref="B10:B19"/>
    <x:mergeCell ref="E11:E19"/>
    <x:mergeCell ref="H11:H19"/>
    <x:mergeCell ref="K11:K19"/>
    <x:mergeCell ref="B20:B21"/>
    <x:mergeCell ref="C20:C21"/>
    <x:mergeCell ref="D20:D21"/>
    <x:mergeCell ref="F20:F21"/>
    <x:mergeCell ref="G20:G21"/>
    <x:mergeCell ref="I20:I21"/>
    <x:mergeCell ref="J20:J21"/>
    <x:mergeCell ref="B24:B31"/>
    <x:mergeCell ref="C24:E24"/>
    <x:mergeCell ref="F24:H24"/>
    <x:mergeCell ref="I24:K24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C27:C28"/>
    <x:mergeCell ref="D27:D28"/>
    <x:mergeCell ref="E27:E28"/>
    <x:mergeCell ref="F27:F28"/>
    <x:mergeCell ref="G27:G28"/>
    <x:mergeCell ref="H27:H28"/>
    <x:mergeCell ref="I27:I28"/>
    <x:mergeCell ref="J27:J28"/>
    <x:mergeCell ref="K27:K28"/>
    <x:mergeCell ref="E30:E31"/>
    <x:mergeCell ref="H30:H31"/>
    <x:mergeCell ref="K30:K31"/>
    <x:mergeCell ref="B32:B41"/>
    <x:mergeCell ref="E33:E41"/>
    <x:mergeCell ref="H33:H41"/>
    <x:mergeCell ref="K33:K41"/>
    <x:mergeCell ref="B42:B43"/>
    <x:mergeCell ref="C42:C43"/>
    <x:mergeCell ref="D42:D43"/>
    <x:mergeCell ref="F42:F43"/>
    <x:mergeCell ref="G42:G43"/>
    <x:mergeCell ref="I42:I43"/>
    <x:mergeCell ref="J42:J4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U61"/>
  <x:sheetViews>
    <x:sheetView tabSelected="1" topLeftCell="B1" zoomScaleNormal="100" zoomScaleSheetLayoutView="100" workbookViewId="0">
      <x:selection activeCell="F20" activeCellId="0" sqref="F20:F20"/>
    </x:sheetView>
  </x:sheetViews>
  <x:sheetFormatPr defaultColWidth="8.75" defaultRowHeight="16.39999999999999857891"/>
  <x:cols>
    <x:col min="3" max="3" width="23.125" customWidth="1"/>
    <x:col min="4" max="4" width="10.375" customWidth="1"/>
    <x:col min="5" max="5" width="15.05078125" bestFit="1" customWidth="1"/>
    <x:col min="6" max="6" width="14.171875" bestFit="1" customWidth="1"/>
    <x:col min="7" max="7" width="7.41015625" bestFit="1" customWidth="1"/>
    <x:col min="8" max="8" width="13.16015625" bestFit="1" customWidth="1"/>
    <x:col min="9" max="9" width="14.30859375" bestFit="1" customWidth="1"/>
    <x:col min="10" max="10" width="12.28125" style="141" bestFit="1" customWidth="1"/>
    <x:col min="11" max="11" width="15.05078125" bestFit="1" customWidth="1"/>
    <x:col min="12" max="12" width="14.171875" bestFit="1" customWidth="1"/>
    <x:col min="13" max="13" width="10.90625" customWidth="1"/>
    <x:col min="14" max="14" width="13.2265625" bestFit="1" customWidth="1"/>
    <x:col min="15" max="15" width="14.30859375" bestFit="1" customWidth="1"/>
    <x:col min="16" max="16" width="13.29296875" bestFit="1" customWidth="1"/>
    <x:col min="17" max="17" width="15.05078125" bestFit="1" customWidth="1"/>
    <x:col min="18" max="18" width="14.171875" bestFit="1" customWidth="1"/>
    <x:col min="19" max="19" width="12.20703125" customWidth="1"/>
    <x:col min="20" max="20" width="13.2265625" bestFit="1" customWidth="1"/>
    <x:col min="21" max="21" width="13.36328125" bestFit="1" customWidth="1"/>
  </x:cols>
  <x:sheetData>
    <x:row r="2" spans="2:20" ht="20.69999999999999928946">
      <x:c r="B2" s="20" t="s">
        <x:v>90</x:v>
      </x:c>
      <x:c r="C2" s="21"/>
      <x:c r="D2" s="21"/>
      <x:c r="E2" s="21"/>
      <x:c r="F2" s="22"/>
      <x:c r="G2" s="23"/>
      <x:c r="H2" s="23" t="s">
        <x:v>32</x:v>
      </x:c>
      <x:c r="I2" s="24" t="s">
        <x:v>48</x:v>
      </x:c>
      <x:c r="J2" s="24" t="s">
        <x:v>52</x:v>
      </x:c>
      <x:c r="K2" s="25"/>
      <x:c r="L2" s="25"/>
      <x:c r="M2" s="25"/>
      <x:c r="N2" s="25"/>
      <x:c r="O2" s="25"/>
      <x:c r="P2" s="25"/>
      <x:c r="Q2" s="25"/>
      <x:c r="R2" s="25"/>
      <x:c r="S2" s="25"/>
      <x:c r="T2" s="1"/>
    </x:row>
    <x:row r="3" spans="2:21">
      <x:c r="B3" s="25"/>
      <x:c r="C3" s="25"/>
      <x:c r="D3" s="25"/>
      <x:c r="E3" s="25"/>
      <x:c r="F3" s="25"/>
      <x:c r="G3" s="25"/>
      <x:c r="H3" s="25"/>
      <x:c r="I3" s="25"/>
      <x:c r="J3" s="142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1"/>
    </x:row>
    <x:row r="4" spans="2:21" ht="16.75">
      <x:c r="B4" s="177" t="s">
        <x:v>102</x:v>
      </x:c>
      <x:c r="C4" s="178" t="s">
        <x:v>6</x:v>
      </x:c>
      <x:c r="D4" s="175" t="s">
        <x:v>100</x:v>
      </x:c>
      <x:c r="E4" s="177" t="s">
        <x:v>7</x:v>
      </x:c>
      <x:c r="F4" s="178"/>
      <x:c r="G4" s="178"/>
      <x:c r="H4" s="175"/>
      <x:c r="I4" s="92"/>
      <x:c r="J4" s="144"/>
      <x:c r="K4" s="177" t="s">
        <x:v>13</x:v>
      </x:c>
      <x:c r="L4" s="178"/>
      <x:c r="M4" s="178"/>
      <x:c r="N4" s="175"/>
      <x:c r="O4" s="92"/>
      <x:c r="P4" s="144"/>
      <x:c r="Q4" s="177" t="s">
        <x:v>60</x:v>
      </x:c>
      <x:c r="R4" s="178"/>
      <x:c r="S4" s="178"/>
      <x:c r="T4" s="175"/>
      <x:c r="U4" s="160"/>
    </x:row>
    <x:row r="5" spans="2:21" ht="17.14999999999999857891">
      <x:c r="B5" s="263"/>
      <x:c r="C5" s="264"/>
      <x:c r="D5" s="176"/>
      <x:c r="E5" s="26" t="s">
        <x:v>41</x:v>
      </x:c>
      <x:c r="F5" s="27" t="s">
        <x:v>27</x:v>
      </x:c>
      <x:c r="G5" s="27" t="s">
        <x:v>53</x:v>
      </x:c>
      <x:c r="H5" s="93" t="s">
        <x:v>51</x:v>
      </x:c>
      <x:c r="I5" s="94" t="s">
        <x:v>19</x:v>
      </x:c>
      <x:c r="J5" s="145" t="s">
        <x:v>50</x:v>
      </x:c>
      <x:c r="K5" s="95" t="s">
        <x:v>41</x:v>
      </x:c>
      <x:c r="L5" s="27" t="s">
        <x:v>27</x:v>
      </x:c>
      <x:c r="M5" s="27" t="s">
        <x:v>53</x:v>
      </x:c>
      <x:c r="N5" s="28" t="s">
        <x:v>51</x:v>
      </x:c>
      <x:c r="O5" s="94" t="s">
        <x:v>19</x:v>
      </x:c>
      <x:c r="P5" s="145" t="s">
        <x:v>50</x:v>
      </x:c>
      <x:c r="Q5" s="26" t="s">
        <x:v>41</x:v>
      </x:c>
      <x:c r="R5" s="27" t="s">
        <x:v>27</x:v>
      </x:c>
      <x:c r="S5" s="27" t="s">
        <x:v>53</x:v>
      </x:c>
      <x:c r="T5" s="28" t="s">
        <x:v>51</x:v>
      </x:c>
      <x:c r="U5" s="94" t="s">
        <x:v>19</x:v>
      </x:c>
    </x:row>
    <x:row r="6" spans="2:21">
      <x:c r="B6" s="29">
        <x:v>1</x:v>
      </x:c>
      <x:c r="C6" s="30" t="s">
        <x:v>21</x:v>
      </x:c>
      <x:c r="D6" s="96"/>
      <x:c r="E6" s="32"/>
      <x:c r="F6" s="128">
        <x:v>33</x:v>
      </x:c>
      <x:c r="G6" s="34"/>
      <x:c r="H6" s="97"/>
      <x:c r="I6" s="98">
        <x:v>33</x:v>
      </x:c>
      <x:c r="J6" s="146"/>
      <x:c r="K6" s="32"/>
      <x:c r="L6" s="128">
        <x:v>33</x:v>
      </x:c>
      <x:c r="M6" s="34"/>
      <x:c r="N6" s="97"/>
      <x:c r="O6" s="98">
        <x:v>33</x:v>
      </x:c>
      <x:c r="P6" s="146"/>
      <x:c r="Q6" s="32"/>
      <x:c r="R6" s="128">
        <x:v>33</x:v>
      </x:c>
      <x:c r="S6" s="34"/>
      <x:c r="T6" s="97"/>
      <x:c r="U6" s="98">
        <x:v>33</x:v>
      </x:c>
    </x:row>
    <x:row r="7" spans="2:21">
      <x:c r="B7" s="36">
        <x:v>2</x:v>
      </x:c>
      <x:c r="C7" s="37" t="s">
        <x:v>73</x:v>
      </x:c>
      <x:c r="D7" s="99"/>
      <x:c r="E7" s="39"/>
      <x:c r="F7" s="129">
        <x:v>33</x:v>
      </x:c>
      <x:c r="G7" s="33"/>
      <x:c r="H7" s="100"/>
      <x:c r="I7" s="101">
        <x:v>33</x:v>
      </x:c>
      <x:c r="J7" s="43"/>
      <x:c r="K7" s="39"/>
      <x:c r="L7" s="129">
        <x:v>33</x:v>
      </x:c>
      <x:c r="M7" s="33"/>
      <x:c r="N7" s="100"/>
      <x:c r="O7" s="101">
        <x:v>33</x:v>
      </x:c>
      <x:c r="P7" s="43"/>
      <x:c r="Q7" s="39"/>
      <x:c r="R7" s="129">
        <x:v>33</x:v>
      </x:c>
      <x:c r="S7" s="33"/>
      <x:c r="T7" s="100"/>
      <x:c r="U7" s="101">
        <x:v>33</x:v>
      </x:c>
    </x:row>
    <x:row r="8" spans="2:21">
      <x:c r="B8" s="36">
        <x:v>3</x:v>
      </x:c>
      <x:c r="C8" s="37" t="s">
        <x:v>77</x:v>
      </x:c>
      <x:c r="D8" s="99"/>
      <x:c r="E8" s="39"/>
      <x:c r="F8" s="129">
        <x:v>32</x:v>
      </x:c>
      <x:c r="G8" s="33"/>
      <x:c r="H8" s="100"/>
      <x:c r="I8" s="101">
        <x:v>32</x:v>
      </x:c>
      <x:c r="J8" s="43"/>
      <x:c r="K8" s="39"/>
      <x:c r="L8" s="129">
        <x:v>32</x:v>
      </x:c>
      <x:c r="M8" s="33"/>
      <x:c r="N8" s="100"/>
      <x:c r="O8" s="101">
        <x:v>32</x:v>
      </x:c>
      <x:c r="P8" s="43"/>
      <x:c r="Q8" s="39"/>
      <x:c r="R8" s="129">
        <x:v>32</x:v>
      </x:c>
      <x:c r="S8" s="33"/>
      <x:c r="T8" s="100"/>
      <x:c r="U8" s="101">
        <x:v>32</x:v>
      </x:c>
    </x:row>
    <x:row r="9" spans="2:21">
      <x:c r="B9" s="36">
        <x:v>4</x:v>
      </x:c>
      <x:c r="C9" s="37" t="s">
        <x:v>10</x:v>
      </x:c>
      <x:c r="D9" s="99"/>
      <x:c r="E9" s="39"/>
      <x:c r="F9" s="129">
        <x:v>32</x:v>
      </x:c>
      <x:c r="G9" s="33"/>
      <x:c r="H9" s="100"/>
      <x:c r="I9" s="101">
        <x:v>32</x:v>
      </x:c>
      <x:c r="J9" s="43"/>
      <x:c r="K9" s="39"/>
      <x:c r="L9" s="129">
        <x:v>32</x:v>
      </x:c>
      <x:c r="M9" s="33"/>
      <x:c r="N9" s="100"/>
      <x:c r="O9" s="101">
        <x:v>32</x:v>
      </x:c>
      <x:c r="P9" s="43"/>
      <x:c r="Q9" s="39"/>
      <x:c r="R9" s="129">
        <x:v>32</x:v>
      </x:c>
      <x:c r="S9" s="33"/>
      <x:c r="T9" s="100"/>
      <x:c r="U9" s="101">
        <x:v>32</x:v>
      </x:c>
    </x:row>
    <x:row r="10" spans="2:21">
      <x:c r="B10" s="36">
        <x:v>5</x:v>
      </x:c>
      <x:c r="C10" s="37" t="s">
        <x:v>82</x:v>
      </x:c>
      <x:c r="D10" s="99"/>
      <x:c r="E10" s="39"/>
      <x:c r="F10" s="129">
        <x:v>32</x:v>
      </x:c>
      <x:c r="G10" s="33"/>
      <x:c r="H10" s="100"/>
      <x:c r="I10" s="101">
        <x:v>32</x:v>
      </x:c>
      <x:c r="J10" s="43"/>
      <x:c r="K10" s="39"/>
      <x:c r="L10" s="129">
        <x:v>32</x:v>
      </x:c>
      <x:c r="M10" s="33"/>
      <x:c r="N10" s="100"/>
      <x:c r="O10" s="101">
        <x:v>32</x:v>
      </x:c>
      <x:c r="P10" s="43"/>
      <x:c r="Q10" s="39"/>
      <x:c r="R10" s="129">
        <x:v>32</x:v>
      </x:c>
      <x:c r="S10" s="33"/>
      <x:c r="T10" s="100"/>
      <x:c r="U10" s="101">
        <x:v>32</x:v>
      </x:c>
    </x:row>
    <x:row r="11" spans="2:21">
      <x:c r="B11" s="36">
        <x:v>6</x:v>
      </x:c>
      <x:c r="C11" s="37" t="s">
        <x:v>64</x:v>
      </x:c>
      <x:c r="D11" s="99"/>
      <x:c r="E11" s="130">
        <x:v>12</x:v>
      </x:c>
      <x:c r="F11" s="131">
        <x:v>14</x:v>
      </x:c>
      <x:c r="G11" s="33"/>
      <x:c r="H11" s="100"/>
      <x:c r="I11" s="101">
        <x:v>27</x:v>
      </x:c>
      <x:c r="J11" s="43"/>
      <x:c r="K11" s="130">
        <x:v>15</x:v>
      </x:c>
      <x:c r="L11" s="131">
        <x:v>15</x:v>
      </x:c>
      <x:c r="M11" s="33"/>
      <x:c r="N11" s="100"/>
      <x:c r="O11" s="101">
        <x:v>27</x:v>
      </x:c>
      <x:c r="P11" s="43"/>
      <x:c r="Q11" s="130">
        <x:v>15</x:v>
      </x:c>
      <x:c r="R11" s="131">
        <x:v>15</x:v>
      </x:c>
      <x:c r="S11" s="33"/>
      <x:c r="T11" s="100"/>
      <x:c r="U11" s="101">
        <x:v>27</x:v>
      </x:c>
    </x:row>
    <x:row r="12" spans="2:21">
      <x:c r="B12" s="36">
        <x:v>7</x:v>
      </x:c>
      <x:c r="C12" s="37" t="s">
        <x:v>30</x:v>
      </x:c>
      <x:c r="D12" s="99"/>
      <x:c r="E12" s="33"/>
      <x:c r="F12" s="33"/>
      <x:c r="G12" s="33"/>
      <x:c r="H12" s="100"/>
      <x:c r="I12" s="101"/>
      <x:c r="J12" s="43"/>
      <x:c r="K12" s="41"/>
      <x:c r="L12" s="33"/>
      <x:c r="M12" s="33"/>
      <x:c r="N12" s="100"/>
      <x:c r="O12" s="101"/>
      <x:c r="P12" s="43"/>
      <x:c r="Q12" s="41"/>
      <x:c r="R12" s="33"/>
      <x:c r="S12" s="33"/>
      <x:c r="T12" s="100"/>
      <x:c r="U12" s="101"/>
    </x:row>
    <x:row r="13" spans="2:21">
      <x:c r="B13" s="36">
        <x:v>8</x:v>
      </x:c>
      <x:c r="C13" s="37" t="s">
        <x:v>83</x:v>
      </x:c>
      <x:c r="D13" s="99"/>
      <x:c r="E13" s="130">
        <x:v>14</x:v>
      </x:c>
      <x:c r="F13" s="131">
        <x:v>17</x:v>
      </x:c>
      <x:c r="G13" s="33"/>
      <x:c r="H13" s="100"/>
      <x:c r="I13" s="101">
        <x:v>27</x:v>
      </x:c>
      <x:c r="J13" s="43"/>
      <x:c r="K13" s="130">
        <x:v>14</x:v>
      </x:c>
      <x:c r="L13" s="131">
        <x:v>18</x:v>
      </x:c>
      <x:c r="M13" s="33"/>
      <x:c r="N13" s="100"/>
      <x:c r="O13" s="101">
        <x:v>27</x:v>
      </x:c>
      <x:c r="P13" s="43"/>
      <x:c r="Q13" s="130">
        <x:v>14</x:v>
      </x:c>
      <x:c r="R13" s="131">
        <x:v>18</x:v>
      </x:c>
      <x:c r="S13" s="33"/>
      <x:c r="T13" s="100"/>
      <x:c r="U13" s="101">
        <x:v>27</x:v>
      </x:c>
    </x:row>
    <x:row r="14" spans="2:21">
      <x:c r="B14" s="36">
        <x:v>9</x:v>
      </x:c>
      <x:c r="C14" s="37" t="s">
        <x:v>92</x:v>
      </x:c>
      <x:c r="D14" s="99"/>
      <x:c r="E14" s="33"/>
      <x:c r="F14" s="33"/>
      <x:c r="G14" s="33"/>
      <x:c r="H14" s="100"/>
      <x:c r="I14" s="101"/>
      <x:c r="J14" s="43"/>
      <x:c r="K14" s="41"/>
      <x:c r="L14" s="33"/>
      <x:c r="M14" s="33"/>
      <x:c r="N14" s="100"/>
      <x:c r="O14" s="101"/>
      <x:c r="P14" s="43"/>
      <x:c r="Q14" s="41"/>
      <x:c r="R14" s="33"/>
      <x:c r="S14" s="33"/>
      <x:c r="T14" s="100"/>
      <x:c r="U14" s="101"/>
    </x:row>
    <x:row r="15" spans="2:21">
      <x:c r="B15" s="36">
        <x:v>10</x:v>
      </x:c>
      <x:c r="C15" s="37" t="s">
        <x:v>91</x:v>
      </x:c>
      <x:c r="D15" s="99"/>
      <x:c r="E15" s="39"/>
      <x:c r="F15" s="33"/>
      <x:c r="G15" s="33"/>
      <x:c r="H15" s="100"/>
      <x:c r="I15" s="101"/>
      <x:c r="J15" s="43"/>
      <x:c r="K15" s="39"/>
      <x:c r="L15" s="33"/>
      <x:c r="M15" s="33"/>
      <x:c r="N15" s="100"/>
      <x:c r="O15" s="101"/>
      <x:c r="P15" s="43"/>
      <x:c r="Q15" s="39"/>
      <x:c r="R15" s="33"/>
      <x:c r="S15" s="33"/>
      <x:c r="T15" s="100"/>
      <x:c r="U15" s="101"/>
    </x:row>
    <x:row r="16" spans="2:21">
      <x:c r="B16" s="36">
        <x:v>11</x:v>
      </x:c>
      <x:c r="C16" s="37" t="s">
        <x:v>94</x:v>
      </x:c>
      <x:c r="D16" s="99"/>
      <x:c r="E16" s="39"/>
      <x:c r="F16" s="33"/>
      <x:c r="G16" s="33"/>
      <x:c r="H16" s="100"/>
      <x:c r="I16" s="101"/>
      <x:c r="J16" s="43"/>
      <x:c r="K16" s="39"/>
      <x:c r="L16" s="33"/>
      <x:c r="M16" s="33"/>
      <x:c r="N16" s="100"/>
      <x:c r="O16" s="101"/>
      <x:c r="P16" s="43"/>
      <x:c r="Q16" s="39"/>
      <x:c r="R16" s="33"/>
      <x:c r="S16" s="33"/>
      <x:c r="T16" s="100"/>
      <x:c r="U16" s="101"/>
    </x:row>
    <x:row r="17" spans="2:21">
      <x:c r="B17" s="36">
        <x:v>12</x:v>
      </x:c>
      <x:c r="C17" s="37" t="s">
        <x:v>28</x:v>
      </x:c>
      <x:c r="D17" s="99"/>
      <x:c r="E17" s="50">
        <x:v>4</x:v>
      </x:c>
      <x:c r="F17" s="129">
        <x:v>17</x:v>
      </x:c>
      <x:c r="G17" s="33"/>
      <x:c r="H17" s="132">
        <x:v>26</x:v>
      </x:c>
      <x:c r="I17" s="101">
        <x:v>21</x:v>
      </x:c>
      <x:c r="J17" s="43"/>
      <x:c r="K17" s="39"/>
      <x:c r="L17" s="129">
        <x:v>17</x:v>
      </x:c>
      <x:c r="M17" s="33"/>
      <x:c r="N17" s="132">
        <x:v>26</x:v>
      </x:c>
      <x:c r="O17" s="101">
        <x:v>21</x:v>
      </x:c>
      <x:c r="P17" s="43"/>
      <x:c r="Q17" s="39"/>
      <x:c r="R17" s="129">
        <x:v>17</x:v>
      </x:c>
      <x:c r="S17" s="33"/>
      <x:c r="T17" s="132">
        <x:v>26</x:v>
      </x:c>
      <x:c r="U17" s="101">
        <x:v>21</x:v>
      </x:c>
    </x:row>
    <x:row r="18" spans="2:21">
      <x:c r="B18" s="36">
        <x:v>13</x:v>
      </x:c>
      <x:c r="C18" s="45" t="s">
        <x:v>47</x:v>
      </x:c>
      <x:c r="D18" s="103"/>
      <x:c r="E18" s="48"/>
      <x:c r="F18" s="48"/>
      <x:c r="G18" s="48"/>
      <x:c r="H18" s="134"/>
      <x:c r="I18" s="46"/>
      <x:c r="J18" s="46"/>
      <x:c r="K18" s="47"/>
      <x:c r="L18" s="48"/>
      <x:c r="M18" s="48"/>
      <x:c r="N18" s="134"/>
      <x:c r="O18" s="46"/>
      <x:c r="P18" s="46"/>
      <x:c r="Q18" s="50"/>
      <x:c r="R18" s="48"/>
      <x:c r="S18" s="48"/>
      <x:c r="T18" s="49"/>
      <x:c r="U18" s="161"/>
    </x:row>
    <x:row r="19" spans="2:21">
      <x:c r="B19" s="36">
        <x:v>14</x:v>
      </x:c>
      <x:c r="C19" s="37" t="s">
        <x:v>24</x:v>
      </x:c>
      <x:c r="D19" s="99"/>
      <x:c r="E19" s="130">
        <x:v>15</x:v>
      </x:c>
      <x:c r="F19" s="131">
        <x:v>10</x:v>
      </x:c>
      <x:c r="G19" s="100"/>
      <x:c r="H19" s="100"/>
      <x:c r="I19" s="101">
        <x:v>19</x:v>
      </x:c>
      <x:c r="J19" s="43"/>
      <x:c r="K19" s="130">
        <x:v>10</x:v>
      </x:c>
      <x:c r="L19" s="131">
        <x:v>10</x:v>
      </x:c>
      <x:c r="M19" s="100"/>
      <x:c r="N19" s="100"/>
      <x:c r="O19" s="101">
        <x:v>15</x:v>
      </x:c>
      <x:c r="P19" s="43">
        <x:v>1</x:v>
      </x:c>
      <x:c r="Q19" s="130">
        <x:v>6</x:v>
      </x:c>
      <x:c r="R19" s="131">
        <x:v>9</x:v>
      </x:c>
      <x:c r="S19" s="33"/>
      <x:c r="T19" s="40"/>
      <x:c r="U19" s="162">
        <x:v>10</x:v>
      </x:c>
    </x:row>
    <x:row r="20" spans="2:21">
      <x:c r="B20" s="36">
        <x:v>15</x:v>
      </x:c>
      <x:c r="C20" s="37" t="s">
        <x:v>37</x:v>
      </x:c>
      <x:c r="D20" s="99"/>
      <x:c r="E20" s="39"/>
      <x:c r="F20" s="131">
        <x:v>21</x:v>
      </x:c>
      <x:c r="G20" s="33"/>
      <x:c r="H20" s="100"/>
      <x:c r="I20" s="101">
        <x:v>21</x:v>
      </x:c>
      <x:c r="J20" s="43"/>
      <x:c r="K20" s="39"/>
      <x:c r="L20" s="131">
        <x:v>19</x:v>
      </x:c>
      <x:c r="M20" s="33"/>
      <x:c r="N20" s="100"/>
      <x:c r="O20" s="101">
        <x:v>19</x:v>
      </x:c>
      <x:c r="P20" s="43">
        <x:v>2</x:v>
      </x:c>
      <x:c r="Q20" s="39"/>
      <x:c r="R20" s="131">
        <x:v>18</x:v>
      </x:c>
      <x:c r="S20" s="33"/>
      <x:c r="T20" s="40"/>
      <x:c r="U20" s="162">
        <x:v>18</x:v>
      </x:c>
    </x:row>
    <x:row r="21" spans="2:21">
      <x:c r="B21" s="36">
        <x:v>16</x:v>
      </x:c>
      <x:c r="C21" s="42" t="s">
        <x:v>11</x:v>
      </x:c>
      <x:c r="D21" s="102"/>
      <x:c r="E21" s="39"/>
      <x:c r="F21" s="33"/>
      <x:c r="G21" s="33"/>
      <x:c r="H21" s="100"/>
      <x:c r="I21" s="101"/>
      <x:c r="J21" s="43"/>
      <x:c r="K21" s="39"/>
      <x:c r="L21" s="33"/>
      <x:c r="M21" s="33"/>
      <x:c r="N21" s="100"/>
      <x:c r="O21" s="101"/>
      <x:c r="P21" s="43"/>
      <x:c r="Q21" s="39"/>
      <x:c r="R21" s="33"/>
      <x:c r="S21" s="33"/>
      <x:c r="T21" s="40"/>
      <x:c r="U21" s="162"/>
    </x:row>
    <x:row r="22" spans="2:21">
      <x:c r="B22" s="36">
        <x:v>17</x:v>
      </x:c>
      <x:c r="C22" s="42" t="s">
        <x:v>29</x:v>
      </x:c>
      <x:c r="D22" s="102"/>
      <x:c r="E22" s="39"/>
      <x:c r="F22" s="131">
        <x:v>10</x:v>
      </x:c>
      <x:c r="G22" s="33"/>
      <x:c r="H22" s="100"/>
      <x:c r="I22" s="101">
        <x:v>8</x:v>
      </x:c>
      <x:c r="J22" s="43">
        <x:v>1</x:v>
      </x:c>
      <x:c r="K22" s="39"/>
      <x:c r="L22" s="131">
        <x:v>12</x:v>
      </x:c>
      <x:c r="M22" s="33"/>
      <x:c r="N22" s="100"/>
      <x:c r="O22" s="101">
        <x:v>9</x:v>
      </x:c>
      <x:c r="P22" s="43">
        <x:v>2</x:v>
      </x:c>
      <x:c r="Q22" s="39"/>
      <x:c r="R22" s="131">
        <x:v>9</x:v>
      </x:c>
      <x:c r="S22" s="33"/>
      <x:c r="T22" s="40"/>
      <x:c r="U22" s="162">
        <x:v>6</x:v>
      </x:c>
    </x:row>
    <x:row r="23" spans="2:21">
      <x:c r="B23" s="36">
        <x:v>18</x:v>
      </x:c>
      <x:c r="C23" s="37" t="s">
        <x:v>39</x:v>
      </x:c>
      <x:c r="D23" s="99"/>
      <x:c r="E23" s="130">
        <x:v>12</x:v>
      </x:c>
      <x:c r="F23" s="130">
        <x:v>19</x:v>
      </x:c>
      <x:c r="G23" s="33"/>
      <x:c r="H23" s="100"/>
      <x:c r="I23" s="101">
        <x:v>12</x:v>
      </x:c>
      <x:c r="J23" s="43">
        <x:v>2</x:v>
      </x:c>
      <x:c r="K23" s="130">
        <x:v>10</x:v>
      </x:c>
      <x:c r="L23" s="130">
        <x:v>16</x:v>
      </x:c>
      <x:c r="M23" s="33"/>
      <x:c r="N23" s="100"/>
      <x:c r="O23" s="101">
        <x:v>23</x:v>
      </x:c>
      <x:c r="P23" s="43">
        <x:v>1</x:v>
      </x:c>
      <x:c r="Q23" s="131">
        <x:v>12</x:v>
      </x:c>
      <x:c r="R23" s="131">
        <x:v>13</x:v>
      </x:c>
      <x:c r="S23" s="33"/>
      <x:c r="T23" s="40"/>
      <x:c r="U23" s="162">
        <x:v>25</x:v>
      </x:c>
    </x:row>
    <x:row r="24" spans="2:21">
      <x:c r="B24" s="36">
        <x:v>19</x:v>
      </x:c>
      <x:c r="C24" s="37" t="s">
        <x:v>26</x:v>
      </x:c>
      <x:c r="D24" s="102"/>
      <x:c r="E24" s="39"/>
      <x:c r="F24" s="131">
        <x:v>9</x:v>
      </x:c>
      <x:c r="G24" s="33"/>
      <x:c r="H24" s="133">
        <x:v>5</x:v>
      </x:c>
      <x:c r="I24" s="101">
        <x:v>11</x:v>
      </x:c>
      <x:c r="J24" s="43">
        <x:v>2</x:v>
      </x:c>
      <x:c r="K24" s="39"/>
      <x:c r="L24" s="131">
        <x:v>9</x:v>
      </x:c>
      <x:c r="M24" s="33"/>
      <x:c r="N24" s="100"/>
      <x:c r="O24" s="101">
        <x:v>9</x:v>
      </x:c>
      <x:c r="P24" s="43"/>
      <x:c r="Q24" s="41"/>
      <x:c r="R24" s="131">
        <x:v>7</x:v>
      </x:c>
      <x:c r="S24" s="33"/>
      <x:c r="T24" s="40"/>
      <x:c r="U24" s="162">
        <x:v>7</x:v>
      </x:c>
    </x:row>
    <x:row r="25" spans="2:21">
      <x:c r="B25" s="36">
        <x:v>20</x:v>
      </x:c>
      <x:c r="C25" s="37" t="s">
        <x:v>18</x:v>
      </x:c>
      <x:c r="D25" s="102"/>
      <x:c r="E25" s="130">
        <x:v>12</x:v>
      </x:c>
      <x:c r="F25" s="131">
        <x:v>10</x:v>
      </x:c>
      <x:c r="G25" s="33"/>
      <x:c r="H25" s="100"/>
      <x:c r="I25" s="101">
        <x:v>14</x:v>
      </x:c>
      <x:c r="J25" s="43">
        <x:v>1</x:v>
      </x:c>
      <x:c r="K25" s="130">
        <x:v>11</x:v>
      </x:c>
      <x:c r="L25" s="131">
        <x:v>15</x:v>
      </x:c>
      <x:c r="M25" s="33"/>
      <x:c r="N25" s="100"/>
      <x:c r="O25" s="101">
        <x:v>22</x:v>
      </x:c>
      <x:c r="P25" s="43">
        <x:v>2</x:v>
      </x:c>
      <x:c r="Q25" s="131">
        <x:v>13</x:v>
      </x:c>
      <x:c r="R25" s="131">
        <x:v>13</x:v>
      </x:c>
      <x:c r="S25" s="33"/>
      <x:c r="T25" s="40"/>
      <x:c r="U25" s="162">
        <x:v>24</x:v>
      </x:c>
    </x:row>
    <x:row r="26" spans="2:21">
      <x:c r="B26" s="36">
        <x:v>21</x:v>
      </x:c>
      <x:c r="C26" s="45" t="s">
        <x:v>68</x:v>
      </x:c>
      <x:c r="D26" s="103"/>
      <x:c r="E26" s="50"/>
      <x:c r="F26" s="48"/>
      <x:c r="G26" s="48"/>
      <x:c r="H26" s="134"/>
      <x:c r="I26" s="134"/>
      <x:c r="J26" s="147"/>
      <x:c r="K26" s="50"/>
      <x:c r="L26" s="48"/>
      <x:c r="M26" s="48"/>
      <x:c r="N26" s="134"/>
      <x:c r="O26" s="134"/>
      <x:c r="P26" s="147"/>
      <x:c r="Q26" s="50"/>
      <x:c r="R26" s="48"/>
      <x:c r="S26" s="48"/>
      <x:c r="T26" s="49"/>
      <x:c r="U26" s="147"/>
    </x:row>
    <x:row r="27" spans="2:21">
      <x:c r="B27" s="36">
        <x:v>22</x:v>
      </x:c>
      <x:c r="C27" s="37" t="s">
        <x:v>9</x:v>
      </x:c>
      <x:c r="D27" s="102"/>
      <x:c r="E27" s="39"/>
      <x:c r="F27" s="131">
        <x:v>7</x:v>
      </x:c>
      <x:c r="G27" s="33"/>
      <x:c r="H27" s="100"/>
      <x:c r="I27" s="101">
        <x:v>7</x:v>
      </x:c>
      <x:c r="J27" s="43"/>
      <x:c r="K27" s="39"/>
      <x:c r="L27" s="131">
        <x:v>6</x:v>
      </x:c>
      <x:c r="M27" s="33"/>
      <x:c r="N27" s="100"/>
      <x:c r="O27" s="101">
        <x:v>6</x:v>
      </x:c>
      <x:c r="P27" s="43">
        <x:v>1</x:v>
      </x:c>
      <x:c r="Q27" s="39"/>
      <x:c r="R27" s="131">
        <x:v>5</x:v>
      </x:c>
      <x:c r="S27" s="33"/>
      <x:c r="T27" s="40"/>
      <x:c r="U27" s="162">
        <x:v>5</x:v>
      </x:c>
    </x:row>
    <x:row r="28" spans="2:21">
      <x:c r="B28" s="36">
        <x:v>23</x:v>
      </x:c>
      <x:c r="C28" s="37" t="s">
        <x:v>5</x:v>
      </x:c>
      <x:c r="D28" s="102"/>
      <x:c r="E28" s="39"/>
      <x:c r="F28" s="33"/>
      <x:c r="G28" s="33"/>
      <x:c r="H28" s="100"/>
      <x:c r="I28" s="101"/>
      <x:c r="J28" s="43"/>
      <x:c r="K28" s="39"/>
      <x:c r="L28" s="33"/>
      <x:c r="M28" s="33"/>
      <x:c r="N28" s="100"/>
      <x:c r="O28" s="101"/>
      <x:c r="P28" s="43"/>
      <x:c r="Q28" s="39"/>
      <x:c r="R28" s="33"/>
      <x:c r="S28" s="33"/>
      <x:c r="T28" s="40"/>
      <x:c r="U28" s="162"/>
    </x:row>
    <x:row r="29" spans="2:21">
      <x:c r="B29" s="36">
        <x:v>24</x:v>
      </x:c>
      <x:c r="C29" s="37" t="s">
        <x:v>22</x:v>
      </x:c>
      <x:c r="D29" s="102"/>
      <x:c r="E29" s="39"/>
      <x:c r="F29" s="33"/>
      <x:c r="G29" s="33"/>
      <x:c r="H29" s="100"/>
      <x:c r="I29" s="101"/>
      <x:c r="J29" s="43"/>
      <x:c r="K29" s="39"/>
      <x:c r="L29" s="33"/>
      <x:c r="M29" s="33"/>
      <x:c r="N29" s="100"/>
      <x:c r="O29" s="101"/>
      <x:c r="P29" s="43"/>
      <x:c r="Q29" s="39"/>
      <x:c r="R29" s="33"/>
      <x:c r="S29" s="33"/>
      <x:c r="T29" s="40"/>
      <x:c r="U29" s="162"/>
    </x:row>
    <x:row r="30" spans="2:21">
      <x:c r="B30" s="36">
        <x:v>25</x:v>
      </x:c>
      <x:c r="C30" s="37" t="s">
        <x:v>2</x:v>
      </x:c>
      <x:c r="D30" s="102"/>
      <x:c r="E30" s="39"/>
      <x:c r="F30" s="131">
        <x:v>7</x:v>
      </x:c>
      <x:c r="G30" s="33"/>
      <x:c r="H30" s="100"/>
      <x:c r="I30" s="101">
        <x:v>7</x:v>
      </x:c>
      <x:c r="J30" s="43"/>
      <x:c r="K30" s="39"/>
      <x:c r="L30" s="131">
        <x:v>7</x:v>
      </x:c>
      <x:c r="M30" s="33"/>
      <x:c r="N30" s="100"/>
      <x:c r="O30" s="101">
        <x:v>7</x:v>
      </x:c>
      <x:c r="P30" s="43"/>
      <x:c r="Q30" s="39"/>
      <x:c r="R30" s="131">
        <x:v>8</x:v>
      </x:c>
      <x:c r="S30" s="33"/>
      <x:c r="T30" s="40"/>
      <x:c r="U30" s="162">
        <x:v>8</x:v>
      </x:c>
    </x:row>
    <x:row r="31" spans="2:21">
      <x:c r="B31" s="36">
        <x:v>26</x:v>
      </x:c>
      <x:c r="C31" s="37" t="s">
        <x:v>81</x:v>
      </x:c>
      <x:c r="D31" s="102"/>
      <x:c r="E31" s="39"/>
      <x:c r="F31" s="131">
        <x:v>16</x:v>
      </x:c>
      <x:c r="G31" s="33"/>
      <x:c r="H31" s="100"/>
      <x:c r="I31" s="101">
        <x:v>16</x:v>
      </x:c>
      <x:c r="J31" s="43">
        <x:v>1</x:v>
      </x:c>
      <x:c r="K31" s="39"/>
      <x:c r="L31" s="131">
        <x:v>16</x:v>
      </x:c>
      <x:c r="M31" s="33"/>
      <x:c r="N31" s="100"/>
      <x:c r="O31" s="101">
        <x:v>16</x:v>
      </x:c>
      <x:c r="P31" s="43">
        <x:v>1</x:v>
      </x:c>
      <x:c r="Q31" s="39"/>
      <x:c r="R31" s="131">
        <x:v>16</x:v>
      </x:c>
      <x:c r="S31" s="33"/>
      <x:c r="T31" s="40"/>
      <x:c r="U31" s="162">
        <x:v>16</x:v>
      </x:c>
    </x:row>
    <x:row r="32" spans="2:21">
      <x:c r="B32" s="36">
        <x:v>27</x:v>
      </x:c>
      <x:c r="C32" s="37" t="s">
        <x:v>46</x:v>
      </x:c>
      <x:c r="D32" s="102"/>
      <x:c r="E32" s="39"/>
      <x:c r="F32" s="33"/>
      <x:c r="G32" s="33"/>
      <x:c r="H32" s="100"/>
      <x:c r="I32" s="101"/>
      <x:c r="J32" s="43"/>
      <x:c r="K32" s="39"/>
      <x:c r="L32" s="33"/>
      <x:c r="M32" s="33"/>
      <x:c r="N32" s="100"/>
      <x:c r="O32" s="101"/>
      <x:c r="P32" s="43"/>
      <x:c r="Q32" s="39"/>
      <x:c r="R32" s="33"/>
      <x:c r="S32" s="33"/>
      <x:c r="T32" s="40"/>
      <x:c r="U32" s="162"/>
    </x:row>
    <x:row r="33" spans="2:21">
      <x:c r="B33" s="36">
        <x:v>28</x:v>
      </x:c>
      <x:c r="C33" s="37" t="s">
        <x:v>40</x:v>
      </x:c>
      <x:c r="D33" s="102"/>
      <x:c r="E33" s="39"/>
      <x:c r="F33" s="33"/>
      <x:c r="G33" s="33"/>
      <x:c r="H33" s="100"/>
      <x:c r="I33" s="101"/>
      <x:c r="J33" s="43"/>
      <x:c r="K33" s="39"/>
      <x:c r="L33" s="33"/>
      <x:c r="M33" s="33"/>
      <x:c r="N33" s="100"/>
      <x:c r="O33" s="101"/>
      <x:c r="P33" s="43"/>
      <x:c r="Q33" s="39"/>
      <x:c r="R33" s="33"/>
      <x:c r="S33" s="33"/>
      <x:c r="T33" s="53"/>
      <x:c r="U33" s="162"/>
    </x:row>
    <x:row r="34" spans="2:21">
      <x:c r="B34" s="36">
        <x:v>29</x:v>
      </x:c>
      <x:c r="C34" s="37" t="s">
        <x:v>3</x:v>
      </x:c>
      <x:c r="D34" s="102"/>
      <x:c r="E34" s="39"/>
      <x:c r="F34" s="131">
        <x:v>11</x:v>
      </x:c>
      <x:c r="G34" s="33"/>
      <x:c r="H34" s="100"/>
      <x:c r="I34" s="101"/>
      <x:c r="J34" s="43"/>
      <x:c r="K34" s="39"/>
      <x:c r="L34" s="131">
        <x:v>12</x:v>
      </x:c>
      <x:c r="M34" s="33"/>
      <x:c r="N34" s="100"/>
      <x:c r="O34" s="101">
        <x:v>11</x:v>
      </x:c>
      <x:c r="P34" s="43">
        <x:v>11</x:v>
      </x:c>
      <x:c r="Q34" s="39"/>
      <x:c r="R34" s="131">
        <x:v>11</x:v>
      </x:c>
      <x:c r="S34" s="33"/>
      <x:c r="T34" s="40"/>
      <x:c r="U34" s="162">
        <x:v>11</x:v>
      </x:c>
    </x:row>
    <x:row r="35" spans="2:21">
      <x:c r="B35" s="36">
        <x:v>30</x:v>
      </x:c>
      <x:c r="C35" s="37" t="s">
        <x:v>63</x:v>
      </x:c>
      <x:c r="D35" s="102"/>
      <x:c r="E35" s="39"/>
      <x:c r="F35" s="33"/>
      <x:c r="G35" s="33"/>
      <x:c r="H35" s="100"/>
      <x:c r="I35" s="101"/>
      <x:c r="J35" s="43"/>
      <x:c r="K35" s="39"/>
      <x:c r="L35" s="33"/>
      <x:c r="M35" s="33"/>
      <x:c r="N35" s="100"/>
      <x:c r="O35" s="101"/>
      <x:c r="P35" s="43"/>
      <x:c r="Q35" s="130">
        <x:v>6</x:v>
      </x:c>
      <x:c r="R35" s="131">
        <x:v>13</x:v>
      </x:c>
      <x:c r="S35" s="33"/>
      <x:c r="T35" s="130">
        <x:v>3</x:v>
      </x:c>
      <x:c r="U35" s="162">
        <x:v>18</x:v>
      </x:c>
    </x:row>
    <x:row r="36" spans="2:21">
      <x:c r="B36" s="36">
        <x:v>31</x:v>
      </x:c>
      <x:c r="C36" s="37" t="s">
        <x:v>44</x:v>
      </x:c>
      <x:c r="D36" s="102"/>
      <x:c r="E36" s="130">
        <x:v>7</x:v>
      </x:c>
      <x:c r="F36" s="131">
        <x:v>10</x:v>
      </x:c>
      <x:c r="G36" s="33"/>
      <x:c r="H36" s="100"/>
      <x:c r="I36" s="101">
        <x:v>14</x:v>
      </x:c>
      <x:c r="J36" s="43">
        <x:v>2</x:v>
      </x:c>
      <x:c r="K36" s="130">
        <x:v>5</x:v>
      </x:c>
      <x:c r="L36" s="131">
        <x:v>5</x:v>
      </x:c>
      <x:c r="M36" s="33"/>
      <x:c r="N36" s="100"/>
      <x:c r="O36" s="101">
        <x:v>10</x:v>
      </x:c>
      <x:c r="P36" s="43">
        <x:v>1</x:v>
      </x:c>
      <x:c r="Q36" s="130">
        <x:v>5</x:v>
      </x:c>
      <x:c r="R36" s="131">
        <x:v>6</x:v>
      </x:c>
      <x:c r="S36" s="33"/>
      <x:c r="T36" s="40"/>
      <x:c r="U36" s="162">
        <x:v>11</x:v>
      </x:c>
    </x:row>
    <x:row r="37" spans="2:21">
      <x:c r="B37" s="36">
        <x:v>32</x:v>
      </x:c>
      <x:c r="C37" s="42" t="s">
        <x:v>43</x:v>
      </x:c>
      <x:c r="D37" s="102"/>
      <x:c r="E37" s="39"/>
      <x:c r="F37" s="131">
        <x:v>12</x:v>
      </x:c>
      <x:c r="G37" s="33"/>
      <x:c r="H37" s="100"/>
      <x:c r="I37" s="101"/>
      <x:c r="J37" s="43"/>
      <x:c r="K37" s="39"/>
      <x:c r="L37" s="131">
        <x:v>12</x:v>
      </x:c>
      <x:c r="M37" s="33"/>
      <x:c r="N37" s="100"/>
      <x:c r="O37" s="101">
        <x:v>11</x:v>
      </x:c>
      <x:c r="P37" s="43"/>
      <x:c r="Q37" s="39"/>
      <x:c r="R37" s="131">
        <x:v>19</x:v>
      </x:c>
      <x:c r="S37" s="33"/>
      <x:c r="T37" s="40"/>
      <x:c r="U37" s="162">
        <x:v>9</x:v>
      </x:c>
    </x:row>
    <x:row r="38" spans="2:21">
      <x:c r="B38" s="36">
        <x:v>33</x:v>
      </x:c>
      <x:c r="C38" s="45" t="s">
        <x:v>23</x:v>
      </x:c>
      <x:c r="D38" s="103"/>
      <x:c r="E38" s="50"/>
      <x:c r="F38" s="48"/>
      <x:c r="G38" s="48"/>
      <x:c r="H38" s="134"/>
      <x:c r="I38" s="134"/>
      <x:c r="J38" s="147"/>
      <x:c r="K38" s="50"/>
      <x:c r="L38" s="48"/>
      <x:c r="M38" s="48"/>
      <x:c r="N38" s="134"/>
      <x:c r="O38" s="134"/>
      <x:c r="P38" s="147"/>
      <x:c r="Q38" s="50"/>
      <x:c r="R38" s="48"/>
      <x:c r="S38" s="48"/>
      <x:c r="T38" s="49"/>
      <x:c r="U38" s="147"/>
    </x:row>
    <x:row r="39" spans="2:21">
      <x:c r="B39" s="36">
        <x:v>34</x:v>
      </x:c>
      <x:c r="C39" s="37" t="s">
        <x:v>38</x:v>
      </x:c>
      <x:c r="D39" s="104"/>
      <x:c r="E39" s="39"/>
      <x:c r="F39" s="129">
        <x:v>10</x:v>
      </x:c>
      <x:c r="G39" s="33"/>
      <x:c r="H39" s="100"/>
      <x:c r="I39" s="101">
        <x:v>5</x:v>
      </x:c>
      <x:c r="J39" s="43"/>
      <x:c r="K39" s="39"/>
      <x:c r="L39" s="129">
        <x:v>10</x:v>
      </x:c>
      <x:c r="M39" s="33"/>
      <x:c r="N39" s="132">
        <x:v>5</x:v>
      </x:c>
      <x:c r="O39" s="101">
        <x:v>7</x:v>
      </x:c>
      <x:c r="P39" s="43"/>
      <x:c r="Q39" s="39"/>
      <x:c r="R39" s="129">
        <x:v>10</x:v>
      </x:c>
      <x:c r="S39" s="33"/>
      <x:c r="T39" s="100"/>
      <x:c r="U39" s="162">
        <x:v>7</x:v>
      </x:c>
    </x:row>
    <x:row r="40" spans="2:21">
      <x:c r="B40" s="36">
        <x:v>35</x:v>
      </x:c>
      <x:c r="C40" s="37" t="s">
        <x:v>14</x:v>
      </x:c>
      <x:c r="D40" s="104"/>
      <x:c r="E40" s="39"/>
      <x:c r="F40" s="129">
        <x:v>10</x:v>
      </x:c>
      <x:c r="G40" s="33"/>
      <x:c r="H40" s="100"/>
      <x:c r="I40" s="101">
        <x:v>5</x:v>
      </x:c>
      <x:c r="J40" s="43"/>
      <x:c r="K40" s="39"/>
      <x:c r="L40" s="129">
        <x:v>10</x:v>
      </x:c>
      <x:c r="M40" s="33"/>
      <x:c r="N40" s="100"/>
      <x:c r="O40" s="101">
        <x:v>5</x:v>
      </x:c>
      <x:c r="P40" s="43">
        <x:v>5</x:v>
      </x:c>
      <x:c r="Q40" s="39"/>
      <x:c r="R40" s="129">
        <x:v>10</x:v>
      </x:c>
      <x:c r="S40" s="33"/>
      <x:c r="T40" s="100"/>
      <x:c r="U40" s="162">
        <x:v>5</x:v>
      </x:c>
    </x:row>
    <x:row r="41" spans="2:21">
      <x:c r="B41" s="36">
        <x:v>36</x:v>
      </x:c>
      <x:c r="C41" s="42" t="s">
        <x:v>8</x:v>
      </x:c>
      <x:c r="D41" s="104"/>
      <x:c r="E41" s="39"/>
      <x:c r="F41" s="129">
        <x:v>10</x:v>
      </x:c>
      <x:c r="G41" s="33"/>
      <x:c r="H41" s="100"/>
      <x:c r="I41" s="101">
        <x:v>5</x:v>
      </x:c>
      <x:c r="J41" s="43"/>
      <x:c r="K41" s="39"/>
      <x:c r="L41" s="129">
        <x:v>10</x:v>
      </x:c>
      <x:c r="M41" s="33"/>
      <x:c r="N41" s="100"/>
      <x:c r="O41" s="101">
        <x:v>5</x:v>
      </x:c>
      <x:c r="P41" s="43">
        <x:v>5</x:v>
      </x:c>
      <x:c r="Q41" s="39"/>
      <x:c r="R41" s="129">
        <x:v>10</x:v>
      </x:c>
      <x:c r="S41" s="33"/>
      <x:c r="T41" s="100"/>
      <x:c r="U41" s="162">
        <x:v>5</x:v>
      </x:c>
    </x:row>
    <x:row r="42" spans="2:21">
      <x:c r="B42" s="36">
        <x:v>37</x:v>
      </x:c>
      <x:c r="C42" s="37" t="s">
        <x:v>67</x:v>
      </x:c>
      <x:c r="D42" s="102"/>
      <x:c r="E42" s="50">
        <x:v>4</x:v>
      </x:c>
      <x:c r="F42" s="33"/>
      <x:c r="G42" s="33"/>
      <x:c r="H42" s="100"/>
      <x:c r="I42" s="101"/>
      <x:c r="J42" s="43"/>
      <x:c r="K42" s="41"/>
      <x:c r="L42" s="33"/>
      <x:c r="M42" s="33"/>
      <x:c r="N42" s="100"/>
      <x:c r="O42" s="101"/>
      <x:c r="P42" s="43"/>
      <x:c r="Q42" s="41"/>
      <x:c r="R42" s="33"/>
      <x:c r="S42" s="33"/>
      <x:c r="T42" s="40"/>
      <x:c r="U42" s="162"/>
    </x:row>
    <x:row r="43" spans="2:21">
      <x:c r="B43" s="36">
        <x:v>38</x:v>
      </x:c>
      <x:c r="C43" s="37" t="s">
        <x:v>86</x:v>
      </x:c>
      <x:c r="D43" s="104"/>
      <x:c r="E43" s="50">
        <x:v>3</x:v>
      </x:c>
      <x:c r="F43" s="33"/>
      <x:c r="G43" s="33"/>
      <x:c r="H43" s="100"/>
      <x:c r="I43" s="101">
        <x:v>3</x:v>
      </x:c>
      <x:c r="J43" s="43"/>
      <x:c r="K43" s="41"/>
      <x:c r="L43" s="33"/>
      <x:c r="M43" s="33"/>
      <x:c r="N43" s="100"/>
      <x:c r="O43" s="101"/>
      <x:c r="P43" s="43"/>
      <x:c r="Q43" s="39"/>
      <x:c r="R43" s="33"/>
      <x:c r="S43" s="33"/>
      <x:c r="T43" s="40"/>
      <x:c r="U43" s="162"/>
    </x:row>
    <x:row r="44" spans="2:21">
      <x:c r="B44" s="36">
        <x:v>39</x:v>
      </x:c>
      <x:c r="C44" s="45" t="s">
        <x:v>49</x:v>
      </x:c>
      <x:c r="D44" s="105"/>
      <x:c r="E44" s="50"/>
      <x:c r="F44" s="48"/>
      <x:c r="G44" s="48"/>
      <x:c r="H44" s="134"/>
      <x:c r="I44" s="134"/>
      <x:c r="J44" s="147"/>
      <x:c r="K44" s="50"/>
      <x:c r="L44" s="48"/>
      <x:c r="M44" s="48"/>
      <x:c r="N44" s="134"/>
      <x:c r="O44" s="134"/>
      <x:c r="P44" s="147"/>
      <x:c r="Q44" s="50"/>
      <x:c r="R44" s="48"/>
      <x:c r="S44" s="48"/>
      <x:c r="T44" s="49"/>
      <x:c r="U44" s="147"/>
    </x:row>
    <x:row r="45" spans="2:21">
      <x:c r="B45" s="36">
        <x:v>40</x:v>
      </x:c>
      <x:c r="C45" s="45" t="s">
        <x:v>12</x:v>
      </x:c>
      <x:c r="D45" s="105"/>
      <x:c r="E45" s="50"/>
      <x:c r="F45" s="48"/>
      <x:c r="G45" s="48"/>
      <x:c r="H45" s="134"/>
      <x:c r="I45" s="134"/>
      <x:c r="J45" s="147"/>
      <x:c r="K45" s="50"/>
      <x:c r="L45" s="48"/>
      <x:c r="M45" s="48"/>
      <x:c r="N45" s="134"/>
      <x:c r="O45" s="134"/>
      <x:c r="P45" s="147"/>
      <x:c r="Q45" s="50"/>
      <x:c r="R45" s="48"/>
      <x:c r="S45" s="48"/>
      <x:c r="T45" s="49"/>
      <x:c r="U45" s="147"/>
    </x:row>
    <x:row r="46" spans="2:21">
      <x:c r="B46" s="36">
        <x:v>41</x:v>
      </x:c>
      <x:c r="C46" s="45" t="s">
        <x:v>15</x:v>
      </x:c>
      <x:c r="D46" s="103"/>
      <x:c r="E46" s="50"/>
      <x:c r="F46" s="48"/>
      <x:c r="G46" s="48"/>
      <x:c r="H46" s="134"/>
      <x:c r="I46" s="46"/>
      <x:c r="J46" s="46"/>
      <x:c r="K46" s="50"/>
      <x:c r="L46" s="48"/>
      <x:c r="M46" s="48"/>
      <x:c r="N46" s="134"/>
      <x:c r="O46" s="46"/>
      <x:c r="P46" s="46"/>
      <x:c r="Q46" s="50"/>
      <x:c r="R46" s="48"/>
      <x:c r="S46" s="48"/>
      <x:c r="T46" s="49"/>
      <x:c r="U46" s="161"/>
    </x:row>
    <x:row r="47" spans="2:21">
      <x:c r="B47" s="36">
        <x:v>42</x:v>
      </x:c>
      <x:c r="C47" s="56"/>
      <x:c r="D47" s="102"/>
      <x:c r="E47" s="39"/>
      <x:c r="F47" s="33"/>
      <x:c r="G47" s="33"/>
      <x:c r="H47" s="100"/>
      <x:c r="I47" s="101"/>
      <x:c r="J47" s="43"/>
      <x:c r="K47" s="39"/>
      <x:c r="L47" s="33"/>
      <x:c r="M47" s="33"/>
      <x:c r="N47" s="100"/>
      <x:c r="O47" s="101"/>
      <x:c r="P47" s="43"/>
      <x:c r="Q47" s="39"/>
      <x:c r="R47" s="33"/>
      <x:c r="S47" s="33"/>
      <x:c r="T47" s="40"/>
      <x:c r="U47" s="162"/>
    </x:row>
    <x:row r="48" spans="2:21">
      <x:c r="B48" s="36">
        <x:v>43</x:v>
      </x:c>
      <x:c r="C48" s="56"/>
      <x:c r="D48" s="102"/>
      <x:c r="E48" s="39"/>
      <x:c r="F48" s="33"/>
      <x:c r="G48" s="33"/>
      <x:c r="H48" s="100"/>
      <x:c r="I48" s="101"/>
      <x:c r="J48" s="43"/>
      <x:c r="K48" s="39"/>
      <x:c r="L48" s="33"/>
      <x:c r="M48" s="33"/>
      <x:c r="N48" s="100"/>
      <x:c r="O48" s="101"/>
      <x:c r="P48" s="43"/>
      <x:c r="Q48" s="39"/>
      <x:c r="R48" s="33"/>
      <x:c r="S48" s="33"/>
      <x:c r="T48" s="40"/>
      <x:c r="U48" s="162"/>
    </x:row>
    <x:row r="49" spans="2:21">
      <x:c r="B49" s="36">
        <x:v>44</x:v>
      </x:c>
      <x:c r="C49" s="56"/>
      <x:c r="D49" s="102"/>
      <x:c r="E49" s="39"/>
      <x:c r="F49" s="33"/>
      <x:c r="G49" s="33"/>
      <x:c r="H49" s="100"/>
      <x:c r="I49" s="101"/>
      <x:c r="J49" s="43"/>
      <x:c r="K49" s="39"/>
      <x:c r="L49" s="33"/>
      <x:c r="M49" s="33"/>
      <x:c r="N49" s="100"/>
      <x:c r="O49" s="101"/>
      <x:c r="P49" s="43"/>
      <x:c r="Q49" s="39"/>
      <x:c r="R49" s="33"/>
      <x:c r="S49" s="33"/>
      <x:c r="T49" s="40"/>
      <x:c r="U49" s="162"/>
    </x:row>
    <x:row r="50" spans="2:21" ht="16.75">
      <x:c r="B50" s="57">
        <x:v>45</x:v>
      </x:c>
      <x:c r="C50" s="58"/>
      <x:c r="D50" s="106"/>
      <x:c r="E50" s="60"/>
      <x:c r="F50" s="61"/>
      <x:c r="G50" s="61"/>
      <x:c r="H50" s="107"/>
      <x:c r="I50" s="108"/>
      <x:c r="J50" s="148"/>
      <x:c r="K50" s="60"/>
      <x:c r="L50" s="61"/>
      <x:c r="M50" s="61"/>
      <x:c r="N50" s="107"/>
      <x:c r="O50" s="108"/>
      <x:c r="P50" s="148"/>
      <x:c r="Q50" s="60"/>
      <x:c r="R50" s="61"/>
      <x:c r="S50" s="61"/>
      <x:c r="T50" s="62"/>
      <x:c r="U50" s="163"/>
    </x:row>
    <x:row r="51" spans="2:21">
      <x:c r="B51" s="184" t="s">
        <x:v>55</x:v>
      </x:c>
      <x:c r="C51" s="185"/>
      <x:c r="D51" s="186"/>
      <x:c r="E51" s="63">
        <x:f t="shared" ref="E51:H51" si="0">SUM(E6:E50)</x:f>
        <x:v>83</x:v>
      </x:c>
      <x:c r="F51" s="64">
        <x:f t="shared" si="0"/>
        <x:v>382</x:v>
      </x:c>
      <x:c r="G51" s="64">
        <x:f t="shared" si="0"/>
        <x:v>0</x:v>
      </x:c>
      <x:c r="H51" s="109">
        <x:f t="shared" si="0"/>
        <x:v>31</x:v>
      </x:c>
      <x:c r="I51" s="110">
        <x:f>SUM(I6:I50)</x:f>
        <x:v>384</x:v>
      </x:c>
      <x:c r="J51" s="149">
        <x:f>SUM(J6:J50)</x:f>
        <x:v>9</x:v>
      </x:c>
      <x:c r="K51" s="111">
        <x:f t="shared" ref="K51:T51" si="1">SUM(K6:K50)</x:f>
        <x:v>65</x:v>
      </x:c>
      <x:c r="L51" s="64">
        <x:f t="shared" si="1"/>
        <x:v>381</x:v>
      </x:c>
      <x:c r="M51" s="64">
        <x:f t="shared" si="1"/>
        <x:v>0</x:v>
      </x:c>
      <x:c r="N51" s="65">
        <x:f t="shared" si="1"/>
        <x:v>31</x:v>
      </x:c>
      <x:c r="O51" s="110">
        <x:f>SUM(O6:O50)</x:f>
        <x:v>412</x:v>
      </x:c>
      <x:c r="P51" s="149">
        <x:f>SUM(P6:P50)</x:f>
        <x:v>32</x:v>
      </x:c>
      <x:c r="Q51" s="63">
        <x:f>SUM(Q6:Q50)</x:f>
        <x:v>71</x:v>
      </x:c>
      <x:c r="R51" s="64">
        <x:f t="shared" si="1"/>
        <x:v>389</x:v>
      </x:c>
      <x:c r="S51" s="64">
        <x:f t="shared" si="1"/>
        <x:v>0</x:v>
      </x:c>
      <x:c r="T51" s="65">
        <x:f t="shared" si="1"/>
        <x:v>29</x:v>
      </x:c>
      <x:c r="U51" s="164">
        <x:f>SUM(U6:U50)</x:f>
        <x:v>422</x:v>
      </x:c>
    </x:row>
    <x:row r="52" spans="2:21">
      <x:c r="B52" s="187" t="s">
        <x:v>84</x:v>
      </x:c>
      <x:c r="C52" s="188"/>
      <x:c r="D52" s="189"/>
      <x:c r="E52" s="66">
        <x:f>E51*400000</x:f>
        <x:v>33200000</x:v>
      </x:c>
      <x:c r="F52" s="67">
        <x:f>F51*400000</x:f>
        <x:v>152800000</x:v>
      </x:c>
      <x:c r="G52" s="67">
        <x:f t="shared" ref="G52:H52" si="2">G51*400000</x:f>
        <x:v>0</x:v>
      </x:c>
      <x:c r="H52" s="112">
        <x:f t="shared" si="2"/>
        <x:v>12400000</x:v>
      </x:c>
      <x:c r="I52" s="113">
        <x:f>SUM(I51*400000)</x:f>
        <x:v>153600000</x:v>
      </x:c>
      <x:c r="J52" s="150">
        <x:f>SUM(J51*400000)</x:f>
        <x:v>3600000</x:v>
      </x:c>
      <x:c r="K52" s="114">
        <x:f t="shared" ref="K52:T52" si="3">K51*400000</x:f>
        <x:v>26000000</x:v>
      </x:c>
      <x:c r="L52" s="67">
        <x:f t="shared" si="3"/>
        <x:v>152400000</x:v>
      </x:c>
      <x:c r="M52" s="67">
        <x:f t="shared" si="3"/>
        <x:v>0</x:v>
      </x:c>
      <x:c r="N52" s="68">
        <x:f t="shared" si="3"/>
        <x:v>12400000</x:v>
      </x:c>
      <x:c r="O52" s="113">
        <x:f>SUM(O51*400000)</x:f>
        <x:v>164800000</x:v>
      </x:c>
      <x:c r="P52" s="150">
        <x:f>SUM(P51*400000)</x:f>
        <x:v>12800000</x:v>
      </x:c>
      <x:c r="Q52" s="66">
        <x:f t="shared" si="3"/>
        <x:v>28400000</x:v>
      </x:c>
      <x:c r="R52" s="67">
        <x:f t="shared" si="3"/>
        <x:v>155600000</x:v>
      </x:c>
      <x:c r="S52" s="67">
        <x:f t="shared" si="3"/>
        <x:v>0</x:v>
      </x:c>
      <x:c r="T52" s="68">
        <x:f t="shared" si="3"/>
        <x:v>11600000</x:v>
      </x:c>
      <x:c r="U52" s="113">
        <x:f>SUM(U51*400000)</x:f>
        <x:v>168800000</x:v>
      </x:c>
    </x:row>
    <x:row r="53" spans="2:21">
      <x:c r="B53" s="187" t="s">
        <x:v>89</x:v>
      </x:c>
      <x:c r="C53" s="188"/>
      <x:c r="D53" s="189"/>
      <x:c r="E53" s="66"/>
      <x:c r="F53" s="67"/>
      <x:c r="G53" s="67"/>
      <x:c r="H53" s="112"/>
      <x:c r="I53" s="113"/>
      <x:c r="J53" s="150"/>
      <x:c r="K53" s="114"/>
      <x:c r="L53" s="67"/>
      <x:c r="M53" s="67"/>
      <x:c r="N53" s="68"/>
      <x:c r="O53" s="113"/>
      <x:c r="P53" s="150"/>
      <x:c r="Q53" s="66"/>
      <x:c r="R53" s="67"/>
      <x:c r="S53" s="67"/>
      <x:c r="T53" s="68"/>
      <x:c r="U53" s="162"/>
    </x:row>
    <x:row r="54" spans="2:21" ht="16.75">
      <x:c r="B54" s="190" t="s">
        <x:v>79</x:v>
      </x:c>
      <x:c r="C54" s="191"/>
      <x:c r="D54" s="192"/>
      <x:c r="E54" s="69"/>
      <x:c r="F54" s="70"/>
      <x:c r="G54" s="70"/>
      <x:c r="H54" s="115"/>
      <x:c r="I54" s="116"/>
      <x:c r="J54" s="151"/>
      <x:c r="K54" s="117"/>
      <x:c r="L54" s="70"/>
      <x:c r="M54" s="70"/>
      <x:c r="N54" s="71"/>
      <x:c r="O54" s="116"/>
      <x:c r="P54" s="151"/>
      <x:c r="Q54" s="69"/>
      <x:c r="R54" s="70">
        <x:f>0*R51</x:f>
        <x:v>0</x:v>
      </x:c>
      <x:c r="S54" s="70"/>
      <x:c r="T54" s="71">
        <x:f>0*T51</x:f>
        <x:v>0</x:v>
      </x:c>
      <x:c r="U54" s="163"/>
    </x:row>
    <x:row r="55" spans="2:21">
      <x:c r="B55" s="72"/>
      <x:c r="C55" s="72"/>
      <x:c r="D55" s="72"/>
      <x:c r="E55" s="73"/>
      <x:c r="F55" s="73"/>
      <x:c r="G55" s="73"/>
      <x:c r="H55" s="73"/>
      <x:c r="I55" s="118"/>
      <x:c r="J55" s="14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1"/>
    </x:row>
    <x:row r="56" spans="2:21" ht="18">
      <x:c r="B56" s="193" t="s">
        <x:v>78</x:v>
      </x:c>
      <x:c r="C56" s="194"/>
      <x:c r="D56" s="195"/>
      <x:c r="E56" s="202" t="s">
        <x:v>0</x:v>
      </x:c>
      <x:c r="F56" s="203"/>
      <x:c r="G56" s="203"/>
      <x:c r="H56" s="204"/>
      <x:c r="I56" s="119"/>
      <x:c r="J56" s="119"/>
      <x:c r="K56" s="202" t="s">
        <x:v>1</x:v>
      </x:c>
      <x:c r="L56" s="203"/>
      <x:c r="M56" s="203"/>
      <x:c r="N56" s="204"/>
      <x:c r="O56" s="119"/>
      <x:c r="P56" s="119"/>
      <x:c r="Q56" s="202" t="s">
        <x:v>65</x:v>
      </x:c>
      <x:c r="R56" s="203"/>
      <x:c r="S56" s="203"/>
      <x:c r="T56" s="204"/>
      <x:c r="U56" s="1"/>
    </x:row>
    <x:row r="57" spans="2:21">
      <x:c r="B57" s="196"/>
      <x:c r="C57" s="197"/>
      <x:c r="D57" s="198"/>
      <x:c r="E57" s="74" t="s">
        <x:v>74</x:v>
      </x:c>
      <x:c r="F57" s="205">
        <x:f>E51+G51</x:f>
        <x:v>83</x:v>
      </x:c>
      <x:c r="G57" s="206"/>
      <x:c r="H57" s="75" t="s">
        <x:v>56</x:v>
      </x:c>
      <x:c r="I57" s="120"/>
      <x:c r="J57" s="120"/>
      <x:c r="K57" s="121" t="s">
        <x:v>74</x:v>
      </x:c>
      <x:c r="L57" s="205">
        <x:f>K51+M51</x:f>
        <x:v>65</x:v>
      </x:c>
      <x:c r="M57" s="206"/>
      <x:c r="N57" s="75" t="s">
        <x:v>56</x:v>
      </x:c>
      <x:c r="O57" s="120"/>
      <x:c r="P57" s="120"/>
      <x:c r="Q57" s="121" t="s">
        <x:v>74</x:v>
      </x:c>
      <x:c r="R57" s="205">
        <x:f>Q51+S51</x:f>
        <x:v>71</x:v>
      </x:c>
      <x:c r="S57" s="206"/>
      <x:c r="T57" s="75" t="s">
        <x:v>56</x:v>
      </x:c>
      <x:c r="U57" s="1"/>
    </x:row>
    <x:row r="58" spans="2:21">
      <x:c r="B58" s="196"/>
      <x:c r="C58" s="197"/>
      <x:c r="D58" s="198"/>
      <x:c r="E58" s="76" t="s">
        <x:v>42</x:v>
      </x:c>
      <x:c r="F58" s="207">
        <x:f>F51+H51</x:f>
        <x:v>413</x:v>
      </x:c>
      <x:c r="G58" s="208"/>
      <x:c r="H58" s="77">
        <x:f>F57+F58</x:f>
        <x:v>496</x:v>
      </x:c>
      <x:c r="I58" s="120"/>
      <x:c r="J58" s="120"/>
      <x:c r="K58" s="122" t="s">
        <x:v>42</x:v>
      </x:c>
      <x:c r="L58" s="207">
        <x:f>L51+N51</x:f>
        <x:v>412</x:v>
      </x:c>
      <x:c r="M58" s="208"/>
      <x:c r="N58" s="77">
        <x:f>L57+L58</x:f>
        <x:v>477</x:v>
      </x:c>
      <x:c r="O58" s="142"/>
      <x:c r="P58" s="142"/>
      <x:c r="Q58" s="122" t="s">
        <x:v>42</x:v>
      </x:c>
      <x:c r="R58" s="207">
        <x:f>R51+T51</x:f>
        <x:v>418</x:v>
      </x:c>
      <x:c r="S58" s="208"/>
      <x:c r="T58" s="77">
        <x:f>R57+R58</x:f>
        <x:v>489</x:v>
      </x:c>
      <x:c r="U58" s="1"/>
    </x:row>
    <x:row r="59" spans="2:21">
      <x:c r="B59" s="196"/>
      <x:c r="C59" s="197"/>
      <x:c r="D59" s="198"/>
      <x:c r="E59" s="78" t="s">
        <x:v>72</x:v>
      </x:c>
      <x:c r="F59" s="209">
        <x:f>E52+G52</x:f>
        <x:v>33200000</x:v>
      </x:c>
      <x:c r="G59" s="210"/>
      <x:c r="H59" s="79" t="s">
        <x:v>45</x:v>
      </x:c>
      <x:c r="I59" s="120"/>
      <x:c r="J59" s="120"/>
      <x:c r="K59" s="78" t="s">
        <x:v>72</x:v>
      </x:c>
      <x:c r="L59" s="211">
        <x:f>K52+M52</x:f>
        <x:v>26000000</x:v>
      </x:c>
      <x:c r="M59" s="212"/>
      <x:c r="N59" s="79" t="s">
        <x:v>45</x:v>
      </x:c>
      <x:c r="O59" s="120"/>
      <x:c r="P59" s="120"/>
      <x:c r="Q59" s="78" t="s">
        <x:v>72</x:v>
      </x:c>
      <x:c r="R59" s="211">
        <x:f>Q52+S52</x:f>
        <x:v>28400000</x:v>
      </x:c>
      <x:c r="S59" s="212"/>
      <x:c r="T59" s="79" t="s">
        <x:v>45</x:v>
      </x:c>
      <x:c r="U59" s="1"/>
    </x:row>
    <x:row r="60" spans="2:21">
      <x:c r="B60" s="196"/>
      <x:c r="C60" s="197"/>
      <x:c r="D60" s="198"/>
      <x:c r="E60" s="80" t="s">
        <x:v>66</x:v>
      </x:c>
      <x:c r="F60" s="213">
        <x:f>E53+E54+G53+G54</x:f>
        <x:v>0</x:v>
      </x:c>
      <x:c r="G60" s="214"/>
      <x:c r="H60" s="215">
        <x:f>F59+F60+F61</x:f>
        <x:v>198400000</x:v>
      </x:c>
      <x:c r="I60" s="123"/>
      <x:c r="J60" s="123"/>
      <x:c r="K60" s="80" t="s">
        <x:v>66</x:v>
      </x:c>
      <x:c r="L60" s="213">
        <x:f>K53+K54+M53+M54</x:f>
        <x:v>0</x:v>
      </x:c>
      <x:c r="M60" s="214"/>
      <x:c r="N60" s="215">
        <x:f>L59+L60+L61</x:f>
        <x:v>190800000</x:v>
      </x:c>
      <x:c r="O60" s="152"/>
      <x:c r="P60" s="152"/>
      <x:c r="Q60" s="80" t="s">
        <x:v>66</x:v>
      </x:c>
      <x:c r="R60" s="213">
        <x:f>Q53+Q54+S53+S54</x:f>
        <x:v>0</x:v>
      </x:c>
      <x:c r="S60" s="214"/>
      <x:c r="T60" s="215">
        <x:f>R59+R60+R61</x:f>
        <x:v>195600000</x:v>
      </x:c>
      <x:c r="U60" s="1"/>
    </x:row>
    <x:row r="61" spans="2:21">
      <x:c r="B61" s="199"/>
      <x:c r="C61" s="200"/>
      <x:c r="D61" s="201"/>
      <x:c r="E61" s="81" t="s">
        <x:v>70</x:v>
      </x:c>
      <x:c r="F61" s="217">
        <x:f>F52+H52</x:f>
        <x:v>165200000</x:v>
      </x:c>
      <x:c r="G61" s="218"/>
      <x:c r="H61" s="216"/>
      <x:c r="I61" s="123"/>
      <x:c r="J61" s="123"/>
      <x:c r="K61" s="81" t="s">
        <x:v>70</x:v>
      </x:c>
      <x:c r="L61" s="217">
        <x:f>L52+N52</x:f>
        <x:v>164800000</x:v>
      </x:c>
      <x:c r="M61" s="218"/>
      <x:c r="N61" s="216"/>
      <x:c r="O61" s="152"/>
      <x:c r="P61" s="152"/>
      <x:c r="Q61" s="81" t="s">
        <x:v>70</x:v>
      </x:c>
      <x:c r="R61" s="217">
        <x:f>R52+T52</x:f>
        <x:v>167200000</x:v>
      </x:c>
      <x:c r="S61" s="218"/>
      <x:c r="T61" s="216"/>
      <x:c r="U61" s="1"/>
    </x:row>
  </x:sheetData>
  <x:mergeCells count="32">
    <x:mergeCell ref="B4:B5"/>
    <x:mergeCell ref="C4:C5"/>
    <x:mergeCell ref="D4:D5"/>
    <x:mergeCell ref="E4:H4"/>
    <x:mergeCell ref="K4:N4"/>
    <x:mergeCell ref="Q4:T4"/>
    <x:mergeCell ref="B51:D51"/>
    <x:mergeCell ref="B52:D52"/>
    <x:mergeCell ref="B53:D53"/>
    <x:mergeCell ref="B54:D54"/>
    <x:mergeCell ref="B56:D61"/>
    <x:mergeCell ref="E56:H56"/>
    <x:mergeCell ref="K56:N56"/>
    <x:mergeCell ref="Q56:T56"/>
    <x:mergeCell ref="F57:G57"/>
    <x:mergeCell ref="L57:M57"/>
    <x:mergeCell ref="R57:S57"/>
    <x:mergeCell ref="F58:G58"/>
    <x:mergeCell ref="L58:M58"/>
    <x:mergeCell ref="R58:S58"/>
    <x:mergeCell ref="F59:G59"/>
    <x:mergeCell ref="L59:M59"/>
    <x:mergeCell ref="R59:S59"/>
    <x:mergeCell ref="F60:G60"/>
    <x:mergeCell ref="H60:H61"/>
    <x:mergeCell ref="L60:M60"/>
    <x:mergeCell ref="N60:N61"/>
    <x:mergeCell ref="R60:S60"/>
    <x:mergeCell ref="T60:T61"/>
    <x:mergeCell ref="F61:G61"/>
    <x:mergeCell ref="L61:M61"/>
    <x:mergeCell ref="R61:S61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(원화)월별계획 2026</vt:lpstr>
      <vt:lpstr>학교자금현황 2026</vt:lpstr>
      <vt:lpstr>자금운영시뮬레이션 2026</vt:lpstr>
      <vt:lpstr>학교운영진행 2026</vt:lpstr>
    </vt:vector>
  </ep:TitlesOfParts>
  <ep:TotalTime>1623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</dc:creator>
  <cp:lastModifiedBy>hancom</cp:lastModifiedBy>
  <cp:revision>139</cp:revision>
  <dcterms:created xsi:type="dcterms:W3CDTF">2026-01-08T10:10:09.000</dcterms:created>
  <dcterms:modified xsi:type="dcterms:W3CDTF">2026-03-18T13:09:36.772</dcterms:modified>
  <cp:version>1300.0100.01</cp:version>
</cp:coreProperties>
</file>